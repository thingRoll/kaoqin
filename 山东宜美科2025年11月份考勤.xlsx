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F:\宜美科工作\1、人资工作\8、考勤\2025年\山东宜美科2025年11月份员工考勤\山东宜美科11月份员工考勤\"/>
    </mc:Choice>
  </mc:AlternateContent>
  <xr:revisionPtr revIDLastSave="0" documentId="13_ncr:1_{CA997411-B7B5-45BA-87BB-B7E0798F1F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当月考勤" sheetId="1" r:id="rId1"/>
    <sheet name="考勤说明" sheetId="2" r:id="rId2"/>
    <sheet name="运维人员" sheetId="3" r:id="rId3"/>
    <sheet name="运维考勤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3" l="1"/>
  <c r="M8" i="3"/>
  <c r="C42" i="1"/>
  <c r="D42" i="1"/>
  <c r="E42" i="1"/>
  <c r="F42" i="1"/>
  <c r="G42" i="1"/>
  <c r="H42" i="1"/>
  <c r="I42" i="1"/>
  <c r="J42" i="1"/>
  <c r="K42" i="1"/>
  <c r="L42" i="1"/>
  <c r="M42" i="1"/>
  <c r="N42" i="1"/>
  <c r="F8" i="3"/>
  <c r="E8" i="3"/>
  <c r="C8" i="3"/>
  <c r="A5" i="4"/>
  <c r="A4" i="4"/>
  <c r="A3" i="4"/>
  <c r="K8" i="3"/>
  <c r="J8" i="3"/>
  <c r="I8" i="3"/>
  <c r="H8" i="3"/>
  <c r="G8" i="3"/>
  <c r="D8" i="3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</calcChain>
</file>

<file path=xl/sharedStrings.xml><?xml version="1.0" encoding="utf-8"?>
<sst xmlns="http://schemas.openxmlformats.org/spreadsheetml/2006/main" count="1506" uniqueCount="193">
  <si>
    <t xml:space="preserve">      山东宜美科节能服务有限责任公司考勤表2025年11月份考勤</t>
  </si>
  <si>
    <t>序号</t>
  </si>
  <si>
    <t>姓名</t>
  </si>
  <si>
    <t>出勤日</t>
  </si>
  <si>
    <t>省内</t>
  </si>
  <si>
    <t>省外</t>
  </si>
  <si>
    <t>加班</t>
  </si>
  <si>
    <t>病假</t>
  </si>
  <si>
    <t>请假</t>
  </si>
  <si>
    <t>调休</t>
  </si>
  <si>
    <t>未打卡</t>
  </si>
  <si>
    <t>旷工</t>
  </si>
  <si>
    <t>迟到</t>
  </si>
  <si>
    <t>工地天数</t>
  </si>
  <si>
    <t>存班</t>
  </si>
  <si>
    <t>备注（入职时间）</t>
  </si>
  <si>
    <t>星期</t>
  </si>
  <si>
    <t>日</t>
  </si>
  <si>
    <t>一</t>
  </si>
  <si>
    <t>二</t>
  </si>
  <si>
    <t>三</t>
  </si>
  <si>
    <t>四</t>
  </si>
  <si>
    <t>五</t>
  </si>
  <si>
    <t>六</t>
  </si>
  <si>
    <t>魏  巍</t>
  </si>
  <si>
    <t>◯</t>
  </si>
  <si>
    <t>√</t>
  </si>
  <si>
    <t>√/济宁</t>
  </si>
  <si>
    <t>济宁/北京</t>
  </si>
  <si>
    <t>济宁/济南</t>
  </si>
  <si>
    <t>龙口</t>
  </si>
  <si>
    <t>龙口/威海</t>
  </si>
  <si>
    <t>威海</t>
  </si>
  <si>
    <t>门源</t>
  </si>
  <si>
    <t>济南/威海</t>
  </si>
  <si>
    <t>龙口/烟台</t>
  </si>
  <si>
    <t>2012.9.20</t>
  </si>
  <si>
    <t>李方军</t>
  </si>
  <si>
    <t>＋</t>
  </si>
  <si>
    <t>√/龙口</t>
  </si>
  <si>
    <t>兖州</t>
  </si>
  <si>
    <t>√/曲阜</t>
  </si>
  <si>
    <t>济宁</t>
  </si>
  <si>
    <t xml:space="preserve">曲阜 </t>
  </si>
  <si>
    <t>2017.9.4</t>
  </si>
  <si>
    <t>卜颖</t>
  </si>
  <si>
    <t>北京</t>
  </si>
  <si>
    <t>2020.12.21</t>
  </si>
  <si>
    <t>包  杰</t>
  </si>
  <si>
    <t>√/＋</t>
  </si>
  <si>
    <t>2018.6.4</t>
  </si>
  <si>
    <t>王力刚</t>
  </si>
  <si>
    <t>2019.7.22</t>
  </si>
  <si>
    <t>马德峰</t>
  </si>
  <si>
    <t>2022.7.28</t>
  </si>
  <si>
    <t>李玲</t>
  </si>
  <si>
    <t>√/调休</t>
  </si>
  <si>
    <t>2024.3.12</t>
  </si>
  <si>
    <t>宋宇萌</t>
  </si>
  <si>
    <t>2024.10.15</t>
  </si>
  <si>
    <t>肖明菊</t>
  </si>
  <si>
    <t>2019.9.19</t>
  </si>
  <si>
    <t>田静</t>
  </si>
  <si>
    <t>2022.7.21</t>
  </si>
  <si>
    <t>王家彬</t>
  </si>
  <si>
    <t>曲阜尼山</t>
  </si>
  <si>
    <t>兖州项目</t>
  </si>
  <si>
    <t>济宁新天地</t>
  </si>
  <si>
    <t>2016.2.19</t>
  </si>
  <si>
    <t>朱培根</t>
  </si>
  <si>
    <t>428项目</t>
  </si>
  <si>
    <t>公司</t>
  </si>
  <si>
    <t>尼山项目</t>
  </si>
  <si>
    <t>蒋春勇</t>
  </si>
  <si>
    <t>圣都酒店</t>
  </si>
  <si>
    <t>2017.6.19</t>
  </si>
  <si>
    <t>马雪晴</t>
  </si>
  <si>
    <r>
      <rPr>
        <sz val="22"/>
        <rFont val="宋体"/>
        <charset val="134"/>
      </rPr>
      <t>绿地</t>
    </r>
    <r>
      <rPr>
        <sz val="22"/>
        <rFont val="Segoe UI Symbol"/>
        <family val="2"/>
      </rPr>
      <t>428</t>
    </r>
  </si>
  <si>
    <t>绿地428</t>
  </si>
  <si>
    <r>
      <rPr>
        <sz val="22"/>
        <rFont val="宋体"/>
        <charset val="134"/>
      </rPr>
      <t>2</t>
    </r>
    <r>
      <rPr>
        <sz val="22"/>
        <rFont val="宋体"/>
        <charset val="134"/>
      </rPr>
      <t>024.07.01</t>
    </r>
  </si>
  <si>
    <t>李祥霈</t>
  </si>
  <si>
    <t>公司/龙口</t>
  </si>
  <si>
    <t>刘伟</t>
  </si>
  <si>
    <t>√/北京</t>
  </si>
  <si>
    <t>2024.4.15</t>
  </si>
  <si>
    <t>周伟</t>
  </si>
  <si>
    <t>南京</t>
  </si>
  <si>
    <t>2023.7.5</t>
  </si>
  <si>
    <t>杨翠环</t>
  </si>
  <si>
    <t>2022.7.4</t>
  </si>
  <si>
    <t>王延伟</t>
  </si>
  <si>
    <t>2024.6.17</t>
  </si>
  <si>
    <t>周晔</t>
  </si>
  <si>
    <t>2024.07.08</t>
  </si>
  <si>
    <t>楚良会</t>
  </si>
  <si>
    <t>2022.2.21</t>
  </si>
  <si>
    <t>张小旭</t>
  </si>
  <si>
    <t>中医院</t>
  </si>
  <si>
    <t>文化中心</t>
  </si>
  <si>
    <t>机场</t>
  </si>
  <si>
    <t>2020.5.10</t>
  </si>
  <si>
    <t>王仰来</t>
  </si>
  <si>
    <t>2022.6.28</t>
  </si>
  <si>
    <t>高洪喜</t>
  </si>
  <si>
    <t>2023.2.20</t>
  </si>
  <si>
    <t>刘潇</t>
  </si>
  <si>
    <t>2021.10.25</t>
  </si>
  <si>
    <t>许炳连</t>
  </si>
  <si>
    <t>会展</t>
  </si>
  <si>
    <t>2024.4.1</t>
  </si>
  <si>
    <t>刘善友</t>
  </si>
  <si>
    <t>2023.7.1</t>
  </si>
  <si>
    <t>刘淑亚</t>
  </si>
  <si>
    <t>2019.7.11</t>
  </si>
  <si>
    <t>张  佩</t>
  </si>
  <si>
    <t>绿地</t>
  </si>
  <si>
    <t>展会</t>
  </si>
  <si>
    <t>2012.9.1</t>
  </si>
  <si>
    <t>周炳</t>
  </si>
  <si>
    <t>于恒哲</t>
  </si>
  <si>
    <t>2024.4.16</t>
  </si>
  <si>
    <t>徐雪梅</t>
  </si>
  <si>
    <t>2022.8.29</t>
  </si>
  <si>
    <t>张庆德</t>
  </si>
  <si>
    <t>大安机场</t>
  </si>
  <si>
    <t>2023.6.16</t>
  </si>
  <si>
    <t>张洋</t>
  </si>
  <si>
    <t>2025.6.23</t>
  </si>
  <si>
    <t>臧国昊</t>
  </si>
  <si>
    <t>2024.3.6</t>
  </si>
  <si>
    <t>胡浩然</t>
  </si>
  <si>
    <t>2025.6.3</t>
  </si>
  <si>
    <t>梁树维</t>
  </si>
  <si>
    <t>2025.10.20</t>
  </si>
  <si>
    <t>合计</t>
  </si>
  <si>
    <t>备注：公司出勤：√、 星期：○、 放假：※  请假：假 、病假：病假、 加班：+、 年假：年、 迟到：迟、 调休：调休、调休半天：√/调、 请假半天：√/假、 梁宝寺：梁 、郓：郓城、济：济宁、白：白庄、曲：曲阜、京：北京、博：博兴、聊：聊城、蒙：内蒙、枣：枣庄、新：新驿、贵：贵州</t>
  </si>
  <si>
    <t>2025年11月考勤情况说明</t>
  </si>
  <si>
    <t>姓  名</t>
  </si>
  <si>
    <t>加班/补休/年假/出差/迟到/早退</t>
  </si>
  <si>
    <t>存班情况</t>
  </si>
  <si>
    <t>魏巍</t>
  </si>
  <si>
    <t>10.29济宁半天、10.30济宁半天，北京半天，11.3-11.4龙口，11.5-11.7威海，11.9-11.16门源，11.20济南威海各半天，11.24-11.25龙口</t>
  </si>
  <si>
    <t>11.3-11.4、11.25龙口，11.7-11.8、11.18兖州，11.9-11.13门源，11.17、11.20曲阜，11.19济宁</t>
  </si>
  <si>
    <t>10.30北京，11.2、11.8-11.9、11.15-11.16、11.22各加班1天，11.3-11.7、11.20、11.25威海</t>
  </si>
  <si>
    <t>11.22加班1天，11.23加班0.5天</t>
  </si>
  <si>
    <t>/</t>
  </si>
  <si>
    <t>11.22加班1天</t>
  </si>
  <si>
    <t>10.27、11.14各调休半天，11.21加班半天，11.22加班1天</t>
  </si>
  <si>
    <t>11.3调休1天，11.21加班半天，11.22加班1天</t>
  </si>
  <si>
    <t>10.28、10.30各调休半天，11.22加班1天</t>
  </si>
  <si>
    <t>10.26-10.27、11.7-11.10、11.16-11.24曲阜尼山，11.25济宁新天地，其余兖州文化中心</t>
  </si>
  <si>
    <t>11.1-11.2、11.6-11.7、11.17-11.18、11.22-11.25公司，11.11-11.14绿地428项目，11.19-11.21曲阜尼山，11.15-11.16调休，其余兖州文化中心</t>
  </si>
  <si>
    <t>10.26-10.28、11.7圣都酒店，其余兖州文化中心</t>
  </si>
  <si>
    <t>10.30北京，11.3-11.4龙口，11.4-11.6威海，11.12-11.13绿地423,11.25威海</t>
  </si>
  <si>
    <t>11.1-11.2、11.7公司、11.3-11.4龙口、11.5-11.6威海，其余曲阜尼山</t>
  </si>
  <si>
    <t>11.20北京半天11.21北京，11.22加班1天</t>
  </si>
  <si>
    <t>11.15-11.18调休，其余南京</t>
  </si>
  <si>
    <t>10.31调休0.5天，11.4、11.6、11.22各调休1天</t>
  </si>
  <si>
    <t>10.30-11.2调休，其余南京</t>
  </si>
  <si>
    <t>10.26、11.4-11.5、11.12、11.15、11.23调休，10.28-11.1、11.3中医院，其余文化中心</t>
  </si>
  <si>
    <t>10.29、11.7、11.13、11.15、11.20调休，10.26-10.28、10.30-11.3中医院，11.21-11.23机场，其余文化中心</t>
  </si>
  <si>
    <t>11.2、11.6-11.7、11.15调休，其余机场</t>
  </si>
  <si>
    <t>10.26、11.5-11.6、11.9、11.16调休，11.18-11.20大安机场，其余文化中心</t>
  </si>
  <si>
    <t>10.26、-10.28、11.1、11.25调休，其余绿地会展</t>
  </si>
  <si>
    <t>10.26、11.1、11.16、11.25调休，其余绿地会展</t>
  </si>
  <si>
    <t>11.1调休半天，11.8-11.9、11.16-11.17调休，其余文化中心</t>
  </si>
  <si>
    <t>10.26、11.23调休，11.4、11.9-11.10绿的会展，11.5、11.11、11.13、绿地428，，10.28、11.6-11.8、11.12、11.21公司考勤，其余济宁</t>
  </si>
  <si>
    <t>10.30、11.1-11.2、11.9、11.23调休，其余绿地会展</t>
  </si>
  <si>
    <t>10.26、11.2、11.8-11.9、11.23调休，其余绿地会展</t>
  </si>
  <si>
    <t>10.27加班0.5天，11.6、11.7各调休1天，11.15加班0.5天，11.22加班1天</t>
  </si>
  <si>
    <t>10.28-10.29、11.9、11.16调休，其余大安机场</t>
  </si>
  <si>
    <t>10.26-11.25兖州文化中心</t>
  </si>
  <si>
    <t>11.8-11.11调休，其余南京</t>
  </si>
  <si>
    <t>11.5、11.8-11.9、11.16-11.17调休，其余文化中心</t>
  </si>
  <si>
    <t xml:space="preserve">       山东宜美科节能服务有限责任公司考勤表2025年11月份考勤</t>
  </si>
  <si>
    <t>王攀科</t>
  </si>
  <si>
    <t>邵寨</t>
  </si>
  <si>
    <t>2020.12.26</t>
  </si>
  <si>
    <t>杨志谦</t>
  </si>
  <si>
    <t>2024.12.4</t>
  </si>
  <si>
    <t>马驰</t>
  </si>
  <si>
    <t>2022.10.22</t>
  </si>
  <si>
    <t>10.26-11.25邵寨</t>
  </si>
  <si>
    <t>√/＋</t>
    <phoneticPr fontId="18" type="noConversion"/>
  </si>
  <si>
    <t>◯</t>
    <phoneticPr fontId="18" type="noConversion"/>
  </si>
  <si>
    <r>
      <rPr>
        <sz val="22"/>
        <rFont val="Segoe UI Symbol"/>
        <family val="3"/>
      </rPr>
      <t>◯</t>
    </r>
    <r>
      <rPr>
        <sz val="22"/>
        <rFont val="宋体"/>
        <family val="3"/>
        <charset val="134"/>
      </rPr>
      <t>/＋</t>
    </r>
    <phoneticPr fontId="18" type="noConversion"/>
  </si>
  <si>
    <t>文化中心/调休</t>
    <phoneticPr fontId="18" type="noConversion"/>
  </si>
  <si>
    <t>10.26-11.6曲阜尼山，11.7-11.17兖州文化中心，11.18、11.21、11.22公司，11.19、11.24-11.25绿地428，11.20威海</t>
    <phoneticPr fontId="18" type="noConversion"/>
  </si>
  <si>
    <t>文化中心</t>
    <phoneticPr fontId="18" type="noConversion"/>
  </si>
  <si>
    <t>调休</t>
    <phoneticPr fontId="18" type="noConversion"/>
  </si>
  <si>
    <t>11.20调休，11.21-11.23兖州文化中心，其余济宁新天地</t>
    <phoneticPr fontId="18" type="noConversion"/>
  </si>
  <si>
    <t>√/调休</t>
    <phoneticPr fontId="18" type="noConversion"/>
  </si>
  <si>
    <t>11.10调休0.5天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</si>
</sst>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79" formatCode="0.00_);[Red]\(0.00\)"/>
  </numFmts>
  <fonts count="24" x14ac:knownFonts="1">
    <font>
      <sz val="12"/>
      <name val="宋体"/>
      <charset val="134"/>
    </font>
    <font>
      <sz val="14"/>
      <name val="微软雅黑"/>
      <charset val="134"/>
    </font>
    <font>
      <sz val="14"/>
      <name val="宋体"/>
      <charset val="134"/>
    </font>
    <font>
      <sz val="36"/>
      <name val="宋体"/>
      <charset val="134"/>
    </font>
    <font>
      <sz val="24"/>
      <name val="宋体"/>
      <charset val="134"/>
    </font>
    <font>
      <sz val="22"/>
      <name val="宋体"/>
      <charset val="134"/>
    </font>
    <font>
      <sz val="26"/>
      <name val="宋体"/>
      <charset val="134"/>
    </font>
    <font>
      <sz val="22"/>
      <name val="宋体"/>
      <charset val="134"/>
      <scheme val="minor"/>
    </font>
    <font>
      <sz val="16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sz val="22"/>
      <name val="Arial"/>
      <family val="2"/>
    </font>
    <font>
      <sz val="22"/>
      <name val="Segoe UI Symbol"/>
      <family val="2"/>
    </font>
    <font>
      <sz val="24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  <font>
      <sz val="22"/>
      <name val="宋体"/>
      <family val="3"/>
      <charset val="134"/>
    </font>
    <font>
      <sz val="22"/>
      <name val="Segoe UI Symbol"/>
      <family val="1"/>
    </font>
    <font>
      <sz val="22"/>
      <name val="Segoe UI Symbol"/>
      <family val="3"/>
    </font>
    <font>
      <sz val="12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0">
      <protection locked="0"/>
    </xf>
  </cellStyleXfs>
  <cellXfs count="6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 applyProtection="1">
      <alignment horizontal="center" vertical="center" wrapText="1"/>
    </xf>
    <xf numFmtId="0" fontId="5" fillId="0" borderId="1" xfId="1" applyNumberFormat="1" applyFont="1" applyFill="1" applyBorder="1" applyAlignment="1" applyProtection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 wrapText="1"/>
    </xf>
    <xf numFmtId="0" fontId="5" fillId="0" borderId="2" xfId="1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 wrapText="1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9" xfId="1" applyNumberFormat="1" applyFont="1" applyFill="1" applyBorder="1" applyAlignment="1">
      <alignment horizontal="center" vertical="center"/>
    </xf>
    <xf numFmtId="0" fontId="0" fillId="0" borderId="9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7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>
      <alignment vertical="center"/>
    </xf>
    <xf numFmtId="178" fontId="10" fillId="0" borderId="0" xfId="0" applyNumberFormat="1" applyFont="1" applyAlignment="1">
      <alignment horizontal="left" vertical="center" shrinkToFit="1"/>
    </xf>
    <xf numFmtId="0" fontId="10" fillId="0" borderId="0" xfId="0" applyFont="1" applyAlignment="1"/>
    <xf numFmtId="49" fontId="10" fillId="0" borderId="0" xfId="0" applyNumberFormat="1" applyFont="1" applyAlignment="1"/>
    <xf numFmtId="0" fontId="10" fillId="0" borderId="0" xfId="0" applyFont="1" applyAlignment="1">
      <alignment wrapText="1"/>
    </xf>
    <xf numFmtId="0" fontId="5" fillId="0" borderId="1" xfId="1" applyNumberFormat="1" applyFont="1" applyFill="1" applyBorder="1" applyAlignment="1">
      <alignment vertical="center" wrapText="1"/>
    </xf>
    <xf numFmtId="0" fontId="12" fillId="0" borderId="0" xfId="1" applyNumberFormat="1" applyFont="1" applyFill="1" applyBorder="1" applyAlignment="1">
      <alignment horizontal="center" vertical="center"/>
    </xf>
    <xf numFmtId="0" fontId="5" fillId="0" borderId="9" xfId="1" applyNumberFormat="1" applyFont="1" applyFill="1" applyBorder="1" applyAlignment="1">
      <alignment horizontal="center" vertical="center"/>
    </xf>
    <xf numFmtId="0" fontId="5" fillId="0" borderId="9" xfId="1" applyNumberFormat="1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 applyProtection="1">
      <alignment horizontal="center" vertical="center"/>
    </xf>
    <xf numFmtId="0" fontId="5" fillId="0" borderId="1" xfId="7" applyFont="1" applyBorder="1" applyAlignment="1" applyProtection="1">
      <alignment horizontal="center" vertical="center" wrapText="1"/>
    </xf>
    <xf numFmtId="179" fontId="5" fillId="0" borderId="1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3" fillId="0" borderId="1" xfId="1" applyNumberFormat="1" applyFont="1" applyFill="1" applyBorder="1" applyAlignment="1" applyProtection="1">
      <alignment horizontal="center" vertical="center"/>
    </xf>
    <xf numFmtId="49" fontId="3" fillId="0" borderId="1" xfId="1" applyNumberFormat="1" applyFont="1" applyFill="1" applyBorder="1" applyAlignment="1" applyProtection="1">
      <alignment horizontal="center" vertical="center"/>
    </xf>
    <xf numFmtId="0" fontId="3" fillId="0" borderId="1" xfId="1" applyNumberFormat="1" applyFont="1" applyFill="1" applyBorder="1" applyAlignment="1" applyProtection="1">
      <alignment horizontal="center" vertical="center" wrapText="1"/>
    </xf>
    <xf numFmtId="0" fontId="5" fillId="0" borderId="1" xfId="1" applyNumberFormat="1" applyFont="1" applyFill="1" applyBorder="1" applyAlignment="1" applyProtection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 applyProtection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wrapText="1"/>
    </xf>
    <xf numFmtId="0" fontId="19" fillId="0" borderId="1" xfId="1" applyNumberFormat="1" applyFont="1" applyFill="1" applyBorder="1" applyAlignment="1">
      <alignment horizontal="center" vertical="center" wrapText="1"/>
    </xf>
    <xf numFmtId="0" fontId="20" fillId="0" borderId="1" xfId="1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1" applyNumberFormat="1" applyFont="1" applyFill="1" applyBorder="1" applyAlignment="1">
      <alignment horizontal="center" vertical="center" wrapText="1"/>
    </xf>
  </cellXfs>
  <cellStyles count="8">
    <cellStyle name="百分比" xfId="1" builtinId="5"/>
    <cellStyle name="百分比 4" xfId="2" xr:uid="{00000000-0005-0000-0000-000031000000}"/>
    <cellStyle name="常规" xfId="0" builtinId="0"/>
    <cellStyle name="常规 2" xfId="3" xr:uid="{00000000-0005-0000-0000-000032000000}"/>
    <cellStyle name="常规 2 5" xfId="4" xr:uid="{00000000-0005-0000-0000-000033000000}"/>
    <cellStyle name="常规 4" xfId="5" xr:uid="{00000000-0005-0000-0000-000034000000}"/>
    <cellStyle name="常规 9" xfId="6" xr:uid="{00000000-0005-0000-0000-000035000000}"/>
    <cellStyle name="常规_Sheet1" xfId="7" xr:uid="{00000000-0005-0000-0000-000036000000}"/>
  </cellStyles>
  <dxfs count="0"/>
  <tableStyles count="0" defaultTableStyle="TableStyleMedium2" defaultPivotStyle="PivotStyleLight16"/>
  <colors>
    <mruColors>
      <color rgb="FF000000"/>
      <color rgb="FFFF0000"/>
      <color rgb="FFFFFF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59"/>
  <sheetViews>
    <sheetView tabSelected="1" zoomScale="40" zoomScaleNormal="40" workbookViewId="0">
      <pane xSplit="2" ySplit="4" topLeftCell="C5" activePane="bottomRight" state="frozen"/>
      <selection pane="topRight"/>
      <selection pane="bottomLeft"/>
      <selection pane="bottomRight" activeCell="A5" sqref="A5"/>
    </sheetView>
  </sheetViews>
  <sheetFormatPr defaultColWidth="10" defaultRowHeight="44.1" customHeight="1" x14ac:dyDescent="0.15"/>
  <cols>
    <col min="1" max="1" width="10" style="26" customWidth="1"/>
    <col min="2" max="2" width="15.5" style="27" customWidth="1"/>
    <col min="3" max="3" width="17.3984375" style="27" customWidth="1"/>
    <col min="4" max="4" width="16.8984375" style="28" customWidth="1"/>
    <col min="5" max="5" width="17.19921875" style="27" customWidth="1"/>
    <col min="6" max="6" width="13.8984375" style="27" customWidth="1"/>
    <col min="7" max="7" width="12.59765625" style="27" customWidth="1"/>
    <col min="8" max="8" width="14.8984375" style="27" customWidth="1"/>
    <col min="9" max="9" width="14.3984375" style="27" customWidth="1"/>
    <col min="10" max="12" width="12.59765625" style="27" customWidth="1"/>
    <col min="13" max="13" width="17.19921875" style="27" customWidth="1"/>
    <col min="14" max="14" width="16.3984375" style="27" customWidth="1"/>
    <col min="15" max="17" width="10" style="29" customWidth="1"/>
    <col min="18" max="18" width="12.296875" style="29" customWidth="1"/>
    <col min="19" max="20" width="10" style="29" customWidth="1"/>
    <col min="21" max="22" width="12.09765625" style="29" customWidth="1"/>
    <col min="23" max="23" width="10" style="29" customWidth="1"/>
    <col min="24" max="24" width="12" style="29" customWidth="1"/>
    <col min="25" max="26" width="10" style="29" customWidth="1"/>
    <col min="27" max="27" width="10.8984375" style="29" customWidth="1"/>
    <col min="28" max="28" width="10" style="29" customWidth="1"/>
    <col min="29" max="29" width="11.19921875" style="29" customWidth="1"/>
    <col min="30" max="30" width="11.59765625" style="29" customWidth="1"/>
    <col min="31" max="31" width="10" style="29" customWidth="1"/>
    <col min="32" max="32" width="11.5" style="29" customWidth="1"/>
    <col min="33" max="33" width="10.59765625" style="29" customWidth="1"/>
    <col min="34" max="34" width="11.3984375" style="29" customWidth="1"/>
    <col min="35" max="36" width="10" style="29" customWidth="1"/>
    <col min="37" max="37" width="11.59765625" style="29" customWidth="1"/>
    <col min="38" max="38" width="11.69921875" style="29" customWidth="1"/>
    <col min="39" max="39" width="10" style="29" customWidth="1"/>
    <col min="40" max="40" width="12.09765625" style="29" customWidth="1"/>
    <col min="41" max="41" width="10.8984375" style="29" customWidth="1"/>
    <col min="42" max="45" width="10" style="29" customWidth="1"/>
    <col min="46" max="46" width="26" style="27" customWidth="1"/>
    <col min="47" max="16381" width="10" style="27" customWidth="1"/>
    <col min="16382" max="16384" width="10" style="27"/>
  </cols>
  <sheetData>
    <row r="1" spans="1:48" ht="81" customHeight="1" x14ac:dyDescent="0.15">
      <c r="A1" s="45" t="s">
        <v>0</v>
      </c>
      <c r="B1" s="45"/>
      <c r="C1" s="45"/>
      <c r="D1" s="46"/>
      <c r="E1" s="45"/>
      <c r="F1" s="45"/>
      <c r="G1" s="45"/>
      <c r="H1" s="45"/>
      <c r="I1" s="45"/>
      <c r="J1" s="45"/>
      <c r="K1" s="45"/>
      <c r="L1" s="45"/>
      <c r="M1" s="45"/>
      <c r="N1" s="45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5"/>
    </row>
    <row r="2" spans="1:48" ht="44.1" customHeight="1" x14ac:dyDescent="0.15">
      <c r="A2" s="48" t="s">
        <v>1</v>
      </c>
      <c r="B2" s="48" t="s">
        <v>2</v>
      </c>
      <c r="C2" s="48" t="s">
        <v>3</v>
      </c>
      <c r="D2" s="50" t="s">
        <v>4</v>
      </c>
      <c r="E2" s="48" t="s">
        <v>5</v>
      </c>
      <c r="F2" s="48" t="s">
        <v>6</v>
      </c>
      <c r="G2" s="48" t="s">
        <v>7</v>
      </c>
      <c r="H2" s="48" t="s">
        <v>8</v>
      </c>
      <c r="I2" s="48" t="s">
        <v>9</v>
      </c>
      <c r="J2" s="48" t="s">
        <v>10</v>
      </c>
      <c r="K2" s="48" t="s">
        <v>11</v>
      </c>
      <c r="L2" s="48" t="s">
        <v>12</v>
      </c>
      <c r="M2" s="48" t="s">
        <v>13</v>
      </c>
      <c r="N2" s="48" t="s">
        <v>14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 t="s">
        <v>15</v>
      </c>
    </row>
    <row r="3" spans="1:48" ht="44.1" customHeight="1" x14ac:dyDescent="0.15">
      <c r="A3" s="48"/>
      <c r="B3" s="48"/>
      <c r="C3" s="48"/>
      <c r="D3" s="50"/>
      <c r="E3" s="48"/>
      <c r="F3" s="48"/>
      <c r="G3" s="48"/>
      <c r="H3" s="48"/>
      <c r="I3" s="48"/>
      <c r="J3" s="48"/>
      <c r="K3" s="48"/>
      <c r="L3" s="48"/>
      <c r="M3" s="48"/>
      <c r="N3" s="48"/>
      <c r="O3" s="7">
        <v>26</v>
      </c>
      <c r="P3" s="7">
        <v>27</v>
      </c>
      <c r="Q3" s="7">
        <v>28</v>
      </c>
      <c r="R3" s="7">
        <v>29</v>
      </c>
      <c r="S3" s="7">
        <v>30</v>
      </c>
      <c r="T3" s="7">
        <v>31</v>
      </c>
      <c r="U3" s="7">
        <v>1</v>
      </c>
      <c r="V3" s="7">
        <v>2</v>
      </c>
      <c r="W3" s="7">
        <v>3</v>
      </c>
      <c r="X3" s="7">
        <v>4</v>
      </c>
      <c r="Y3" s="7">
        <v>5</v>
      </c>
      <c r="Z3" s="7">
        <v>6</v>
      </c>
      <c r="AA3" s="7">
        <v>7</v>
      </c>
      <c r="AB3" s="7">
        <v>8</v>
      </c>
      <c r="AC3" s="7">
        <v>9</v>
      </c>
      <c r="AD3" s="7">
        <v>10</v>
      </c>
      <c r="AE3" s="7">
        <v>11</v>
      </c>
      <c r="AF3" s="7">
        <v>12</v>
      </c>
      <c r="AG3" s="7">
        <v>13</v>
      </c>
      <c r="AH3" s="7">
        <v>14</v>
      </c>
      <c r="AI3" s="7">
        <v>15</v>
      </c>
      <c r="AJ3" s="7">
        <v>16</v>
      </c>
      <c r="AK3" s="7">
        <v>17</v>
      </c>
      <c r="AL3" s="7">
        <v>18</v>
      </c>
      <c r="AM3" s="7">
        <v>19</v>
      </c>
      <c r="AN3" s="7">
        <v>20</v>
      </c>
      <c r="AO3" s="7">
        <v>21</v>
      </c>
      <c r="AP3" s="7">
        <v>22</v>
      </c>
      <c r="AQ3" s="7">
        <v>23</v>
      </c>
      <c r="AR3" s="7">
        <v>24</v>
      </c>
      <c r="AS3" s="7">
        <v>25</v>
      </c>
      <c r="AT3" s="48"/>
    </row>
    <row r="4" spans="1:48" s="22" customFormat="1" ht="44.1" customHeight="1" x14ac:dyDescent="0.25">
      <c r="A4" s="48"/>
      <c r="B4" s="7" t="s">
        <v>16</v>
      </c>
      <c r="C4" s="48"/>
      <c r="D4" s="50"/>
      <c r="E4" s="48"/>
      <c r="F4" s="48"/>
      <c r="G4" s="48"/>
      <c r="H4" s="48"/>
      <c r="I4" s="48"/>
      <c r="J4" s="48"/>
      <c r="K4" s="48"/>
      <c r="L4" s="48"/>
      <c r="M4" s="48"/>
      <c r="N4" s="48"/>
      <c r="O4" s="7" t="s">
        <v>17</v>
      </c>
      <c r="P4" s="7" t="s">
        <v>18</v>
      </c>
      <c r="Q4" s="7" t="s">
        <v>19</v>
      </c>
      <c r="R4" s="7" t="s">
        <v>20</v>
      </c>
      <c r="S4" s="7" t="s">
        <v>21</v>
      </c>
      <c r="T4" s="7" t="s">
        <v>22</v>
      </c>
      <c r="U4" s="7" t="s">
        <v>23</v>
      </c>
      <c r="V4" s="7" t="s">
        <v>17</v>
      </c>
      <c r="W4" s="7" t="s">
        <v>18</v>
      </c>
      <c r="X4" s="7" t="s">
        <v>19</v>
      </c>
      <c r="Y4" s="7" t="s">
        <v>20</v>
      </c>
      <c r="Z4" s="7" t="s">
        <v>21</v>
      </c>
      <c r="AA4" s="7" t="s">
        <v>22</v>
      </c>
      <c r="AB4" s="7" t="s">
        <v>23</v>
      </c>
      <c r="AC4" s="7" t="s">
        <v>17</v>
      </c>
      <c r="AD4" s="7" t="s">
        <v>18</v>
      </c>
      <c r="AE4" s="7" t="s">
        <v>19</v>
      </c>
      <c r="AF4" s="7" t="s">
        <v>20</v>
      </c>
      <c r="AG4" s="7" t="s">
        <v>21</v>
      </c>
      <c r="AH4" s="7" t="s">
        <v>22</v>
      </c>
      <c r="AI4" s="7" t="s">
        <v>23</v>
      </c>
      <c r="AJ4" s="7" t="s">
        <v>17</v>
      </c>
      <c r="AK4" s="7" t="s">
        <v>18</v>
      </c>
      <c r="AL4" s="7" t="s">
        <v>19</v>
      </c>
      <c r="AM4" s="7" t="s">
        <v>20</v>
      </c>
      <c r="AN4" s="7" t="s">
        <v>21</v>
      </c>
      <c r="AO4" s="7" t="s">
        <v>22</v>
      </c>
      <c r="AP4" s="7" t="s">
        <v>23</v>
      </c>
      <c r="AQ4" s="7" t="s">
        <v>17</v>
      </c>
      <c r="AR4" s="7" t="s">
        <v>18</v>
      </c>
      <c r="AS4" s="7" t="s">
        <v>19</v>
      </c>
      <c r="AT4" s="48"/>
    </row>
    <row r="5" spans="1:48" s="23" customFormat="1" ht="84.6" customHeight="1" x14ac:dyDescent="0.25">
      <c r="A5" s="8">
        <f>ROW(A2)-1</f>
        <v>1</v>
      </c>
      <c r="B5" s="8" t="s">
        <v>24</v>
      </c>
      <c r="C5" s="8">
        <v>25</v>
      </c>
      <c r="D5" s="8">
        <v>8</v>
      </c>
      <c r="E5" s="8">
        <v>8</v>
      </c>
      <c r="F5" s="8">
        <v>3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9" t="s">
        <v>25</v>
      </c>
      <c r="P5" s="9" t="s">
        <v>26</v>
      </c>
      <c r="Q5" s="9" t="s">
        <v>26</v>
      </c>
      <c r="R5" s="9" t="s">
        <v>27</v>
      </c>
      <c r="S5" s="9" t="s">
        <v>28</v>
      </c>
      <c r="T5" s="9" t="s">
        <v>29</v>
      </c>
      <c r="U5" s="9" t="s">
        <v>25</v>
      </c>
      <c r="V5" s="9" t="s">
        <v>25</v>
      </c>
      <c r="W5" s="30" t="s">
        <v>30</v>
      </c>
      <c r="X5" s="30" t="s">
        <v>31</v>
      </c>
      <c r="Y5" s="30" t="s">
        <v>32</v>
      </c>
      <c r="Z5" s="30" t="s">
        <v>32</v>
      </c>
      <c r="AA5" s="30" t="s">
        <v>32</v>
      </c>
      <c r="AB5" s="9" t="s">
        <v>25</v>
      </c>
      <c r="AC5" s="9" t="s">
        <v>33</v>
      </c>
      <c r="AD5" s="9" t="s">
        <v>33</v>
      </c>
      <c r="AE5" s="9" t="s">
        <v>33</v>
      </c>
      <c r="AF5" s="9" t="s">
        <v>33</v>
      </c>
      <c r="AG5" s="9" t="s">
        <v>33</v>
      </c>
      <c r="AH5" s="9" t="s">
        <v>33</v>
      </c>
      <c r="AI5" s="9" t="s">
        <v>33</v>
      </c>
      <c r="AJ5" s="9" t="s">
        <v>33</v>
      </c>
      <c r="AK5" s="9" t="s">
        <v>26</v>
      </c>
      <c r="AL5" s="9" t="s">
        <v>26</v>
      </c>
      <c r="AM5" s="9" t="s">
        <v>26</v>
      </c>
      <c r="AN5" s="9" t="s">
        <v>34</v>
      </c>
      <c r="AO5" s="9" t="s">
        <v>26</v>
      </c>
      <c r="AP5" s="9" t="s">
        <v>25</v>
      </c>
      <c r="AQ5" s="63" t="s">
        <v>184</v>
      </c>
      <c r="AR5" s="9" t="s">
        <v>30</v>
      </c>
      <c r="AS5" s="9" t="s">
        <v>35</v>
      </c>
      <c r="AT5" s="8" t="s">
        <v>36</v>
      </c>
      <c r="AU5" s="31"/>
      <c r="AV5" s="31"/>
    </row>
    <row r="6" spans="1:48" s="23" customFormat="1" ht="76.95" customHeight="1" x14ac:dyDescent="0.25">
      <c r="A6" s="8">
        <f t="shared" ref="A6:A41" si="0">ROW(A3)-1</f>
        <v>2</v>
      </c>
      <c r="B6" s="8" t="s">
        <v>37</v>
      </c>
      <c r="C6" s="8">
        <v>29</v>
      </c>
      <c r="D6" s="8">
        <v>8</v>
      </c>
      <c r="E6" s="8">
        <v>5</v>
      </c>
      <c r="F6" s="8">
        <v>7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9" t="s">
        <v>38</v>
      </c>
      <c r="P6" s="9" t="s">
        <v>26</v>
      </c>
      <c r="Q6" s="9" t="s">
        <v>26</v>
      </c>
      <c r="R6" s="9" t="s">
        <v>26</v>
      </c>
      <c r="S6" s="9" t="s">
        <v>26</v>
      </c>
      <c r="T6" s="9" t="s">
        <v>26</v>
      </c>
      <c r="U6" s="9" t="s">
        <v>25</v>
      </c>
      <c r="V6" s="9" t="s">
        <v>25</v>
      </c>
      <c r="W6" s="30" t="s">
        <v>39</v>
      </c>
      <c r="X6" s="30" t="s">
        <v>30</v>
      </c>
      <c r="Y6" s="9" t="s">
        <v>26</v>
      </c>
      <c r="Z6" s="9" t="s">
        <v>26</v>
      </c>
      <c r="AA6" s="30" t="s">
        <v>40</v>
      </c>
      <c r="AB6" s="30" t="s">
        <v>40</v>
      </c>
      <c r="AC6" s="9" t="s">
        <v>33</v>
      </c>
      <c r="AD6" s="9" t="s">
        <v>33</v>
      </c>
      <c r="AE6" s="9" t="s">
        <v>33</v>
      </c>
      <c r="AF6" s="9" t="s">
        <v>33</v>
      </c>
      <c r="AG6" s="9" t="s">
        <v>33</v>
      </c>
      <c r="AH6" s="9" t="s">
        <v>26</v>
      </c>
      <c r="AI6" s="9" t="s">
        <v>38</v>
      </c>
      <c r="AJ6" s="9" t="s">
        <v>38</v>
      </c>
      <c r="AK6" s="9" t="s">
        <v>41</v>
      </c>
      <c r="AL6" s="9" t="s">
        <v>40</v>
      </c>
      <c r="AM6" s="9" t="s">
        <v>42</v>
      </c>
      <c r="AN6" s="9" t="s">
        <v>43</v>
      </c>
      <c r="AO6" s="9" t="s">
        <v>26</v>
      </c>
      <c r="AP6" s="9" t="s">
        <v>38</v>
      </c>
      <c r="AQ6" s="9" t="s">
        <v>38</v>
      </c>
      <c r="AR6" s="9" t="s">
        <v>26</v>
      </c>
      <c r="AS6" s="9" t="s">
        <v>30</v>
      </c>
      <c r="AT6" s="8" t="s">
        <v>44</v>
      </c>
      <c r="AU6" s="31"/>
      <c r="AV6" s="31"/>
    </row>
    <row r="7" spans="1:48" s="23" customFormat="1" ht="76.95" customHeight="1" x14ac:dyDescent="0.25">
      <c r="A7" s="8">
        <f t="shared" si="0"/>
        <v>3</v>
      </c>
      <c r="B7" s="8" t="s">
        <v>45</v>
      </c>
      <c r="C7" s="8">
        <v>28</v>
      </c>
      <c r="D7" s="8">
        <v>7</v>
      </c>
      <c r="E7" s="8">
        <v>1</v>
      </c>
      <c r="F7" s="8">
        <v>6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9" t="s">
        <v>25</v>
      </c>
      <c r="P7" s="9" t="s">
        <v>26</v>
      </c>
      <c r="Q7" s="9" t="s">
        <v>26</v>
      </c>
      <c r="R7" s="9" t="s">
        <v>26</v>
      </c>
      <c r="S7" s="9" t="s">
        <v>46</v>
      </c>
      <c r="T7" s="9" t="s">
        <v>26</v>
      </c>
      <c r="U7" s="9" t="s">
        <v>25</v>
      </c>
      <c r="V7" s="9" t="s">
        <v>38</v>
      </c>
      <c r="W7" s="30" t="s">
        <v>32</v>
      </c>
      <c r="X7" s="30" t="s">
        <v>32</v>
      </c>
      <c r="Y7" s="30" t="s">
        <v>32</v>
      </c>
      <c r="Z7" s="30" t="s">
        <v>32</v>
      </c>
      <c r="AA7" s="30" t="s">
        <v>32</v>
      </c>
      <c r="AB7" s="9" t="s">
        <v>38</v>
      </c>
      <c r="AC7" s="9" t="s">
        <v>38</v>
      </c>
      <c r="AD7" s="9" t="s">
        <v>26</v>
      </c>
      <c r="AE7" s="9" t="s">
        <v>26</v>
      </c>
      <c r="AF7" s="9" t="s">
        <v>26</v>
      </c>
      <c r="AG7" s="9" t="s">
        <v>26</v>
      </c>
      <c r="AH7" s="9" t="s">
        <v>26</v>
      </c>
      <c r="AI7" s="9" t="s">
        <v>38</v>
      </c>
      <c r="AJ7" s="9" t="s">
        <v>38</v>
      </c>
      <c r="AK7" s="9" t="s">
        <v>26</v>
      </c>
      <c r="AL7" s="9" t="s">
        <v>26</v>
      </c>
      <c r="AM7" s="9" t="s">
        <v>26</v>
      </c>
      <c r="AN7" s="9" t="s">
        <v>32</v>
      </c>
      <c r="AO7" s="9" t="s">
        <v>26</v>
      </c>
      <c r="AP7" s="9" t="s">
        <v>38</v>
      </c>
      <c r="AQ7" s="9" t="s">
        <v>25</v>
      </c>
      <c r="AR7" s="9" t="s">
        <v>26</v>
      </c>
      <c r="AS7" s="9" t="s">
        <v>32</v>
      </c>
      <c r="AT7" s="8" t="s">
        <v>47</v>
      </c>
      <c r="AU7" s="31"/>
      <c r="AV7" s="31"/>
    </row>
    <row r="8" spans="1:48" s="23" customFormat="1" ht="76.95" customHeight="1" x14ac:dyDescent="0.25">
      <c r="A8" s="8">
        <f t="shared" si="0"/>
        <v>4</v>
      </c>
      <c r="B8" s="8" t="s">
        <v>48</v>
      </c>
      <c r="C8" s="8">
        <v>23.5</v>
      </c>
      <c r="D8" s="8">
        <v>0</v>
      </c>
      <c r="E8" s="8">
        <v>0</v>
      </c>
      <c r="F8" s="8">
        <v>1.5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2.5</v>
      </c>
      <c r="O8" s="9" t="s">
        <v>25</v>
      </c>
      <c r="P8" s="9" t="s">
        <v>26</v>
      </c>
      <c r="Q8" s="9" t="s">
        <v>26</v>
      </c>
      <c r="R8" s="9" t="s">
        <v>26</v>
      </c>
      <c r="S8" s="9" t="s">
        <v>26</v>
      </c>
      <c r="T8" s="9" t="s">
        <v>26</v>
      </c>
      <c r="U8" s="9" t="s">
        <v>25</v>
      </c>
      <c r="V8" s="9" t="s">
        <v>25</v>
      </c>
      <c r="W8" s="9" t="s">
        <v>26</v>
      </c>
      <c r="X8" s="9" t="s">
        <v>26</v>
      </c>
      <c r="Y8" s="9" t="s">
        <v>26</v>
      </c>
      <c r="Z8" s="9" t="s">
        <v>26</v>
      </c>
      <c r="AA8" s="9" t="s">
        <v>26</v>
      </c>
      <c r="AB8" s="9" t="s">
        <v>25</v>
      </c>
      <c r="AC8" s="9" t="s">
        <v>25</v>
      </c>
      <c r="AD8" s="9" t="s">
        <v>26</v>
      </c>
      <c r="AE8" s="9" t="s">
        <v>26</v>
      </c>
      <c r="AF8" s="9" t="s">
        <v>26</v>
      </c>
      <c r="AG8" s="9" t="s">
        <v>26</v>
      </c>
      <c r="AH8" s="9" t="s">
        <v>26</v>
      </c>
      <c r="AI8" s="9" t="s">
        <v>25</v>
      </c>
      <c r="AJ8" s="9" t="s">
        <v>25</v>
      </c>
      <c r="AK8" s="9" t="s">
        <v>26</v>
      </c>
      <c r="AL8" s="9" t="s">
        <v>26</v>
      </c>
      <c r="AM8" s="9" t="s">
        <v>26</v>
      </c>
      <c r="AN8" s="9" t="s">
        <v>26</v>
      </c>
      <c r="AO8" s="9" t="s">
        <v>26</v>
      </c>
      <c r="AP8" s="9" t="s">
        <v>38</v>
      </c>
      <c r="AQ8" s="62" t="s">
        <v>185</v>
      </c>
      <c r="AR8" s="9" t="s">
        <v>26</v>
      </c>
      <c r="AS8" s="9" t="s">
        <v>26</v>
      </c>
      <c r="AT8" s="8" t="s">
        <v>50</v>
      </c>
      <c r="AU8" s="31"/>
      <c r="AV8" s="31"/>
    </row>
    <row r="9" spans="1:48" s="23" customFormat="1" ht="76.95" customHeight="1" x14ac:dyDescent="0.25">
      <c r="A9" s="8">
        <f t="shared" si="0"/>
        <v>5</v>
      </c>
      <c r="B9" s="32" t="s">
        <v>51</v>
      </c>
      <c r="C9" s="8">
        <v>22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9" t="s">
        <v>25</v>
      </c>
      <c r="P9" s="9" t="s">
        <v>26</v>
      </c>
      <c r="Q9" s="9" t="s">
        <v>26</v>
      </c>
      <c r="R9" s="9" t="s">
        <v>26</v>
      </c>
      <c r="S9" s="9" t="s">
        <v>26</v>
      </c>
      <c r="T9" s="9" t="s">
        <v>26</v>
      </c>
      <c r="U9" s="9" t="s">
        <v>25</v>
      </c>
      <c r="V9" s="9" t="s">
        <v>25</v>
      </c>
      <c r="W9" s="9" t="s">
        <v>26</v>
      </c>
      <c r="X9" s="9" t="s">
        <v>26</v>
      </c>
      <c r="Y9" s="9" t="s">
        <v>26</v>
      </c>
      <c r="Z9" s="9" t="s">
        <v>26</v>
      </c>
      <c r="AA9" s="9" t="s">
        <v>26</v>
      </c>
      <c r="AB9" s="9" t="s">
        <v>25</v>
      </c>
      <c r="AC9" s="9" t="s">
        <v>25</v>
      </c>
      <c r="AD9" s="9" t="s">
        <v>26</v>
      </c>
      <c r="AE9" s="9" t="s">
        <v>26</v>
      </c>
      <c r="AF9" s="9" t="s">
        <v>26</v>
      </c>
      <c r="AG9" s="9" t="s">
        <v>26</v>
      </c>
      <c r="AH9" s="9" t="s">
        <v>26</v>
      </c>
      <c r="AI9" s="9" t="s">
        <v>25</v>
      </c>
      <c r="AJ9" s="9" t="s">
        <v>25</v>
      </c>
      <c r="AK9" s="9" t="s">
        <v>26</v>
      </c>
      <c r="AL9" s="9" t="s">
        <v>26</v>
      </c>
      <c r="AM9" s="9" t="s">
        <v>26</v>
      </c>
      <c r="AN9" s="9" t="s">
        <v>26</v>
      </c>
      <c r="AO9" s="9" t="s">
        <v>26</v>
      </c>
      <c r="AP9" s="9" t="s">
        <v>25</v>
      </c>
      <c r="AQ9" s="9" t="s">
        <v>25</v>
      </c>
      <c r="AR9" s="9" t="s">
        <v>26</v>
      </c>
      <c r="AS9" s="9" t="s">
        <v>26</v>
      </c>
      <c r="AT9" s="8" t="s">
        <v>52</v>
      </c>
      <c r="AU9" s="31"/>
      <c r="AV9" s="31"/>
    </row>
    <row r="10" spans="1:48" s="23" customFormat="1" ht="76.95" customHeight="1" x14ac:dyDescent="0.25">
      <c r="A10" s="8">
        <f t="shared" si="0"/>
        <v>6</v>
      </c>
      <c r="B10" s="32" t="s">
        <v>53</v>
      </c>
      <c r="C10" s="8">
        <v>23</v>
      </c>
      <c r="D10" s="8">
        <v>0</v>
      </c>
      <c r="E10" s="8">
        <v>0</v>
      </c>
      <c r="F10" s="8">
        <v>1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6</v>
      </c>
      <c r="O10" s="9" t="s">
        <v>25</v>
      </c>
      <c r="P10" s="9" t="s">
        <v>26</v>
      </c>
      <c r="Q10" s="9" t="s">
        <v>26</v>
      </c>
      <c r="R10" s="9" t="s">
        <v>26</v>
      </c>
      <c r="S10" s="9" t="s">
        <v>26</v>
      </c>
      <c r="T10" s="9" t="s">
        <v>26</v>
      </c>
      <c r="U10" s="9" t="s">
        <v>25</v>
      </c>
      <c r="V10" s="9" t="s">
        <v>25</v>
      </c>
      <c r="W10" s="9" t="s">
        <v>26</v>
      </c>
      <c r="X10" s="9" t="s">
        <v>26</v>
      </c>
      <c r="Y10" s="9" t="s">
        <v>26</v>
      </c>
      <c r="Z10" s="9" t="s">
        <v>26</v>
      </c>
      <c r="AA10" s="9" t="s">
        <v>26</v>
      </c>
      <c r="AB10" s="9" t="s">
        <v>25</v>
      </c>
      <c r="AC10" s="9" t="s">
        <v>25</v>
      </c>
      <c r="AD10" s="9" t="s">
        <v>26</v>
      </c>
      <c r="AE10" s="9" t="s">
        <v>26</v>
      </c>
      <c r="AF10" s="9" t="s">
        <v>26</v>
      </c>
      <c r="AG10" s="9" t="s">
        <v>26</v>
      </c>
      <c r="AH10" s="9" t="s">
        <v>26</v>
      </c>
      <c r="AI10" s="9" t="s">
        <v>25</v>
      </c>
      <c r="AJ10" s="9" t="s">
        <v>25</v>
      </c>
      <c r="AK10" s="9" t="s">
        <v>26</v>
      </c>
      <c r="AL10" s="9" t="s">
        <v>26</v>
      </c>
      <c r="AM10" s="9" t="s">
        <v>26</v>
      </c>
      <c r="AN10" s="9" t="s">
        <v>26</v>
      </c>
      <c r="AO10" s="9" t="s">
        <v>26</v>
      </c>
      <c r="AP10" s="9" t="s">
        <v>38</v>
      </c>
      <c r="AQ10" s="9" t="s">
        <v>25</v>
      </c>
      <c r="AR10" s="9" t="s">
        <v>26</v>
      </c>
      <c r="AS10" s="9" t="s">
        <v>26</v>
      </c>
      <c r="AT10" s="8" t="s">
        <v>54</v>
      </c>
      <c r="AU10" s="31"/>
      <c r="AV10" s="31"/>
    </row>
    <row r="11" spans="1:48" s="23" customFormat="1" ht="76.95" customHeight="1" x14ac:dyDescent="0.25">
      <c r="A11" s="8">
        <f t="shared" si="0"/>
        <v>7</v>
      </c>
      <c r="B11" s="32" t="s">
        <v>55</v>
      </c>
      <c r="C11" s="8">
        <v>22</v>
      </c>
      <c r="D11" s="8">
        <v>0</v>
      </c>
      <c r="E11" s="8">
        <v>0</v>
      </c>
      <c r="F11" s="8">
        <v>2</v>
      </c>
      <c r="G11" s="8">
        <v>0</v>
      </c>
      <c r="H11" s="8">
        <v>0</v>
      </c>
      <c r="I11" s="8">
        <v>1</v>
      </c>
      <c r="J11" s="8">
        <v>0</v>
      </c>
      <c r="K11" s="8">
        <v>0</v>
      </c>
      <c r="L11" s="8">
        <v>0</v>
      </c>
      <c r="M11" s="8">
        <v>0</v>
      </c>
      <c r="N11" s="8">
        <v>16</v>
      </c>
      <c r="O11" s="9" t="s">
        <v>25</v>
      </c>
      <c r="P11" s="9" t="s">
        <v>56</v>
      </c>
      <c r="Q11" s="9" t="s">
        <v>26</v>
      </c>
      <c r="R11" s="9" t="s">
        <v>26</v>
      </c>
      <c r="S11" s="9" t="s">
        <v>26</v>
      </c>
      <c r="T11" s="9" t="s">
        <v>26</v>
      </c>
      <c r="U11" s="9" t="s">
        <v>25</v>
      </c>
      <c r="V11" s="9" t="s">
        <v>25</v>
      </c>
      <c r="W11" s="9" t="s">
        <v>26</v>
      </c>
      <c r="X11" s="9" t="s">
        <v>26</v>
      </c>
      <c r="Y11" s="9" t="s">
        <v>26</v>
      </c>
      <c r="Z11" s="9" t="s">
        <v>26</v>
      </c>
      <c r="AA11" s="9" t="s">
        <v>26</v>
      </c>
      <c r="AB11" s="9" t="s">
        <v>25</v>
      </c>
      <c r="AC11" s="9" t="s">
        <v>25</v>
      </c>
      <c r="AD11" s="9" t="s">
        <v>26</v>
      </c>
      <c r="AE11" s="9" t="s">
        <v>26</v>
      </c>
      <c r="AF11" s="9" t="s">
        <v>26</v>
      </c>
      <c r="AG11" s="9" t="s">
        <v>26</v>
      </c>
      <c r="AH11" s="9" t="s">
        <v>56</v>
      </c>
      <c r="AI11" s="9" t="s">
        <v>25</v>
      </c>
      <c r="AJ11" s="9" t="s">
        <v>25</v>
      </c>
      <c r="AK11" s="9" t="s">
        <v>26</v>
      </c>
      <c r="AL11" s="9" t="s">
        <v>26</v>
      </c>
      <c r="AM11" s="9" t="s">
        <v>26</v>
      </c>
      <c r="AN11" s="9" t="s">
        <v>49</v>
      </c>
      <c r="AO11" s="9" t="s">
        <v>49</v>
      </c>
      <c r="AP11" s="9" t="s">
        <v>38</v>
      </c>
      <c r="AQ11" s="9" t="s">
        <v>25</v>
      </c>
      <c r="AR11" s="9" t="s">
        <v>26</v>
      </c>
      <c r="AS11" s="9" t="s">
        <v>26</v>
      </c>
      <c r="AT11" s="9" t="s">
        <v>57</v>
      </c>
      <c r="AU11" s="31"/>
      <c r="AV11" s="31"/>
    </row>
    <row r="12" spans="1:48" s="23" customFormat="1" ht="76.95" customHeight="1" x14ac:dyDescent="0.25">
      <c r="A12" s="8">
        <f t="shared" si="0"/>
        <v>8</v>
      </c>
      <c r="B12" s="32" t="s">
        <v>58</v>
      </c>
      <c r="C12" s="8">
        <v>22</v>
      </c>
      <c r="D12" s="8">
        <v>0</v>
      </c>
      <c r="E12" s="8">
        <v>0</v>
      </c>
      <c r="F12" s="8">
        <v>2</v>
      </c>
      <c r="G12" s="8">
        <v>0</v>
      </c>
      <c r="H12" s="8">
        <v>0</v>
      </c>
      <c r="I12" s="8">
        <v>1</v>
      </c>
      <c r="J12" s="8">
        <v>0</v>
      </c>
      <c r="K12" s="8">
        <v>0</v>
      </c>
      <c r="L12" s="8">
        <v>0</v>
      </c>
      <c r="M12" s="8">
        <v>0</v>
      </c>
      <c r="N12" s="8">
        <v>5.5</v>
      </c>
      <c r="O12" s="9" t="s">
        <v>25</v>
      </c>
      <c r="P12" s="9" t="s">
        <v>26</v>
      </c>
      <c r="Q12" s="9" t="s">
        <v>26</v>
      </c>
      <c r="R12" s="9" t="s">
        <v>26</v>
      </c>
      <c r="S12" s="9" t="s">
        <v>26</v>
      </c>
      <c r="T12" s="9" t="s">
        <v>26</v>
      </c>
      <c r="U12" s="9" t="s">
        <v>25</v>
      </c>
      <c r="V12" s="9" t="s">
        <v>25</v>
      </c>
      <c r="W12" s="30" t="s">
        <v>9</v>
      </c>
      <c r="X12" s="9" t="s">
        <v>26</v>
      </c>
      <c r="Y12" s="9" t="s">
        <v>26</v>
      </c>
      <c r="Z12" s="9" t="s">
        <v>26</v>
      </c>
      <c r="AA12" s="9" t="s">
        <v>26</v>
      </c>
      <c r="AB12" s="9" t="s">
        <v>25</v>
      </c>
      <c r="AC12" s="9" t="s">
        <v>25</v>
      </c>
      <c r="AD12" s="9" t="s">
        <v>26</v>
      </c>
      <c r="AE12" s="9" t="s">
        <v>26</v>
      </c>
      <c r="AF12" s="9" t="s">
        <v>26</v>
      </c>
      <c r="AG12" s="9" t="s">
        <v>26</v>
      </c>
      <c r="AH12" s="9" t="s">
        <v>26</v>
      </c>
      <c r="AI12" s="9" t="s">
        <v>25</v>
      </c>
      <c r="AJ12" s="9" t="s">
        <v>25</v>
      </c>
      <c r="AK12" s="9" t="s">
        <v>26</v>
      </c>
      <c r="AL12" s="9" t="s">
        <v>26</v>
      </c>
      <c r="AM12" s="9" t="s">
        <v>26</v>
      </c>
      <c r="AN12" s="9" t="s">
        <v>49</v>
      </c>
      <c r="AO12" s="62" t="s">
        <v>183</v>
      </c>
      <c r="AP12" s="9" t="s">
        <v>38</v>
      </c>
      <c r="AQ12" s="9" t="s">
        <v>25</v>
      </c>
      <c r="AR12" s="9" t="s">
        <v>26</v>
      </c>
      <c r="AS12" s="9" t="s">
        <v>26</v>
      </c>
      <c r="AT12" s="9" t="s">
        <v>59</v>
      </c>
      <c r="AU12" s="31"/>
      <c r="AV12" s="31"/>
    </row>
    <row r="13" spans="1:48" s="24" customFormat="1" ht="76.95" customHeight="1" x14ac:dyDescent="0.25">
      <c r="A13" s="8">
        <f t="shared" si="0"/>
        <v>9</v>
      </c>
      <c r="B13" s="33" t="s">
        <v>60</v>
      </c>
      <c r="C13" s="8">
        <v>22</v>
      </c>
      <c r="D13" s="8">
        <v>0</v>
      </c>
      <c r="E13" s="8">
        <v>0</v>
      </c>
      <c r="F13" s="9">
        <v>1</v>
      </c>
      <c r="G13" s="8">
        <v>0</v>
      </c>
      <c r="H13" s="8">
        <v>0</v>
      </c>
      <c r="I13" s="8">
        <v>1</v>
      </c>
      <c r="J13" s="8">
        <v>0</v>
      </c>
      <c r="K13" s="8">
        <v>0</v>
      </c>
      <c r="L13" s="8">
        <v>0</v>
      </c>
      <c r="M13" s="8">
        <v>0</v>
      </c>
      <c r="N13" s="9">
        <v>0</v>
      </c>
      <c r="O13" s="9" t="s">
        <v>25</v>
      </c>
      <c r="P13" s="9" t="s">
        <v>26</v>
      </c>
      <c r="Q13" s="9" t="s">
        <v>56</v>
      </c>
      <c r="R13" s="9" t="s">
        <v>26</v>
      </c>
      <c r="S13" s="9" t="s">
        <v>56</v>
      </c>
      <c r="T13" s="9" t="s">
        <v>26</v>
      </c>
      <c r="U13" s="9" t="s">
        <v>25</v>
      </c>
      <c r="V13" s="9" t="s">
        <v>25</v>
      </c>
      <c r="W13" s="9" t="s">
        <v>26</v>
      </c>
      <c r="X13" s="9" t="s">
        <v>26</v>
      </c>
      <c r="Y13" s="9" t="s">
        <v>26</v>
      </c>
      <c r="Z13" s="9" t="s">
        <v>26</v>
      </c>
      <c r="AA13" s="9" t="s">
        <v>26</v>
      </c>
      <c r="AB13" s="9" t="s">
        <v>25</v>
      </c>
      <c r="AC13" s="9" t="s">
        <v>25</v>
      </c>
      <c r="AD13" s="9" t="s">
        <v>26</v>
      </c>
      <c r="AE13" s="9" t="s">
        <v>26</v>
      </c>
      <c r="AF13" s="9" t="s">
        <v>26</v>
      </c>
      <c r="AG13" s="9" t="s">
        <v>26</v>
      </c>
      <c r="AH13" s="9" t="s">
        <v>26</v>
      </c>
      <c r="AI13" s="9" t="s">
        <v>25</v>
      </c>
      <c r="AJ13" s="9" t="s">
        <v>25</v>
      </c>
      <c r="AK13" s="9" t="s">
        <v>26</v>
      </c>
      <c r="AL13" s="9" t="s">
        <v>26</v>
      </c>
      <c r="AM13" s="9" t="s">
        <v>26</v>
      </c>
      <c r="AN13" s="9" t="s">
        <v>26</v>
      </c>
      <c r="AO13" s="9" t="s">
        <v>26</v>
      </c>
      <c r="AP13" s="9" t="s">
        <v>38</v>
      </c>
      <c r="AQ13" s="9" t="s">
        <v>25</v>
      </c>
      <c r="AR13" s="9" t="s">
        <v>26</v>
      </c>
      <c r="AS13" s="9" t="s">
        <v>26</v>
      </c>
      <c r="AT13" s="9" t="s">
        <v>61</v>
      </c>
      <c r="AU13" s="31"/>
      <c r="AV13" s="31"/>
    </row>
    <row r="14" spans="1:48" s="23" customFormat="1" ht="76.95" customHeight="1" x14ac:dyDescent="0.25">
      <c r="A14" s="8">
        <f t="shared" si="0"/>
        <v>10</v>
      </c>
      <c r="B14" s="32" t="s">
        <v>62</v>
      </c>
      <c r="C14" s="8">
        <v>23</v>
      </c>
      <c r="D14" s="8">
        <v>0</v>
      </c>
      <c r="E14" s="8">
        <v>0</v>
      </c>
      <c r="F14" s="9">
        <v>1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1</v>
      </c>
      <c r="O14" s="9" t="s">
        <v>25</v>
      </c>
      <c r="P14" s="9" t="s">
        <v>26</v>
      </c>
      <c r="Q14" s="9" t="s">
        <v>26</v>
      </c>
      <c r="R14" s="9" t="s">
        <v>26</v>
      </c>
      <c r="S14" s="9" t="s">
        <v>26</v>
      </c>
      <c r="T14" s="9" t="s">
        <v>26</v>
      </c>
      <c r="U14" s="9" t="s">
        <v>25</v>
      </c>
      <c r="V14" s="9" t="s">
        <v>25</v>
      </c>
      <c r="W14" s="9" t="s">
        <v>26</v>
      </c>
      <c r="X14" s="9" t="s">
        <v>26</v>
      </c>
      <c r="Y14" s="9" t="s">
        <v>26</v>
      </c>
      <c r="Z14" s="9" t="s">
        <v>26</v>
      </c>
      <c r="AA14" s="9" t="s">
        <v>26</v>
      </c>
      <c r="AB14" s="9" t="s">
        <v>25</v>
      </c>
      <c r="AC14" s="9" t="s">
        <v>25</v>
      </c>
      <c r="AD14" s="9" t="s">
        <v>26</v>
      </c>
      <c r="AE14" s="9" t="s">
        <v>26</v>
      </c>
      <c r="AF14" s="9" t="s">
        <v>26</v>
      </c>
      <c r="AG14" s="9" t="s">
        <v>26</v>
      </c>
      <c r="AH14" s="9" t="s">
        <v>26</v>
      </c>
      <c r="AI14" s="9" t="s">
        <v>25</v>
      </c>
      <c r="AJ14" s="9" t="s">
        <v>25</v>
      </c>
      <c r="AK14" s="9" t="s">
        <v>26</v>
      </c>
      <c r="AL14" s="9" t="s">
        <v>26</v>
      </c>
      <c r="AM14" s="9" t="s">
        <v>26</v>
      </c>
      <c r="AN14" s="9" t="s">
        <v>26</v>
      </c>
      <c r="AO14" s="9" t="s">
        <v>26</v>
      </c>
      <c r="AP14" s="9" t="s">
        <v>38</v>
      </c>
      <c r="AQ14" s="9" t="s">
        <v>25</v>
      </c>
      <c r="AR14" s="9" t="s">
        <v>26</v>
      </c>
      <c r="AS14" s="9" t="s">
        <v>26</v>
      </c>
      <c r="AT14" s="9" t="s">
        <v>63</v>
      </c>
      <c r="AU14" s="31"/>
      <c r="AV14" s="31"/>
    </row>
    <row r="15" spans="1:48" s="23" customFormat="1" ht="123" customHeight="1" x14ac:dyDescent="0.25">
      <c r="A15" s="8">
        <f t="shared" si="0"/>
        <v>11</v>
      </c>
      <c r="B15" s="8" t="s">
        <v>64</v>
      </c>
      <c r="C15" s="8">
        <v>31</v>
      </c>
      <c r="D15" s="8">
        <v>31</v>
      </c>
      <c r="E15" s="8">
        <v>0</v>
      </c>
      <c r="F15" s="8">
        <v>4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31</v>
      </c>
      <c r="N15" s="8">
        <v>18.5</v>
      </c>
      <c r="O15" s="9" t="s">
        <v>65</v>
      </c>
      <c r="P15" s="9" t="s">
        <v>65</v>
      </c>
      <c r="Q15" s="9" t="s">
        <v>66</v>
      </c>
      <c r="R15" s="9" t="s">
        <v>66</v>
      </c>
      <c r="S15" s="9" t="s">
        <v>66</v>
      </c>
      <c r="T15" s="9" t="s">
        <v>66</v>
      </c>
      <c r="U15" s="9" t="s">
        <v>66</v>
      </c>
      <c r="V15" s="9" t="s">
        <v>66</v>
      </c>
      <c r="W15" s="9" t="s">
        <v>66</v>
      </c>
      <c r="X15" s="9" t="s">
        <v>66</v>
      </c>
      <c r="Y15" s="9" t="s">
        <v>66</v>
      </c>
      <c r="Z15" s="9" t="s">
        <v>66</v>
      </c>
      <c r="AA15" s="9" t="s">
        <v>65</v>
      </c>
      <c r="AB15" s="9" t="s">
        <v>65</v>
      </c>
      <c r="AC15" s="9" t="s">
        <v>65</v>
      </c>
      <c r="AD15" s="9" t="s">
        <v>65</v>
      </c>
      <c r="AE15" s="9" t="s">
        <v>66</v>
      </c>
      <c r="AF15" s="9" t="s">
        <v>66</v>
      </c>
      <c r="AG15" s="9" t="s">
        <v>66</v>
      </c>
      <c r="AH15" s="9" t="s">
        <v>66</v>
      </c>
      <c r="AI15" s="9" t="s">
        <v>66</v>
      </c>
      <c r="AJ15" s="9" t="s">
        <v>65</v>
      </c>
      <c r="AK15" s="9" t="s">
        <v>65</v>
      </c>
      <c r="AL15" s="9" t="s">
        <v>65</v>
      </c>
      <c r="AM15" s="9" t="s">
        <v>65</v>
      </c>
      <c r="AN15" s="9" t="s">
        <v>65</v>
      </c>
      <c r="AO15" s="9" t="s">
        <v>65</v>
      </c>
      <c r="AP15" s="9" t="s">
        <v>65</v>
      </c>
      <c r="AQ15" s="9" t="s">
        <v>65</v>
      </c>
      <c r="AR15" s="9" t="s">
        <v>65</v>
      </c>
      <c r="AS15" s="9" t="s">
        <v>67</v>
      </c>
      <c r="AT15" s="34" t="s">
        <v>68</v>
      </c>
      <c r="AU15" s="31"/>
    </row>
    <row r="16" spans="1:48" ht="123" customHeight="1" x14ac:dyDescent="0.15">
      <c r="A16" s="8">
        <f t="shared" si="0"/>
        <v>12</v>
      </c>
      <c r="B16" s="8" t="s">
        <v>69</v>
      </c>
      <c r="C16" s="8">
        <v>29</v>
      </c>
      <c r="D16" s="8">
        <v>29</v>
      </c>
      <c r="E16" s="8">
        <v>0</v>
      </c>
      <c r="F16" s="32">
        <v>2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29</v>
      </c>
      <c r="N16" s="8">
        <v>21.5</v>
      </c>
      <c r="O16" s="9" t="s">
        <v>66</v>
      </c>
      <c r="P16" s="9" t="s">
        <v>66</v>
      </c>
      <c r="Q16" s="9" t="s">
        <v>66</v>
      </c>
      <c r="R16" s="9" t="s">
        <v>66</v>
      </c>
      <c r="S16" s="9" t="s">
        <v>66</v>
      </c>
      <c r="T16" s="9" t="s">
        <v>66</v>
      </c>
      <c r="U16" s="9" t="s">
        <v>49</v>
      </c>
      <c r="V16" s="9" t="s">
        <v>49</v>
      </c>
      <c r="W16" s="9" t="s">
        <v>66</v>
      </c>
      <c r="X16" s="9" t="s">
        <v>66</v>
      </c>
      <c r="Y16" s="9" t="s">
        <v>70</v>
      </c>
      <c r="Z16" s="9" t="s">
        <v>26</v>
      </c>
      <c r="AA16" s="9" t="s">
        <v>26</v>
      </c>
      <c r="AB16" s="9" t="s">
        <v>66</v>
      </c>
      <c r="AC16" s="9" t="s">
        <v>66</v>
      </c>
      <c r="AD16" s="9" t="s">
        <v>66</v>
      </c>
      <c r="AE16" s="9" t="s">
        <v>70</v>
      </c>
      <c r="AF16" s="9" t="s">
        <v>70</v>
      </c>
      <c r="AG16" s="9" t="s">
        <v>70</v>
      </c>
      <c r="AH16" s="9" t="s">
        <v>70</v>
      </c>
      <c r="AI16" s="9" t="s">
        <v>9</v>
      </c>
      <c r="AJ16" s="9" t="s">
        <v>9</v>
      </c>
      <c r="AK16" s="9" t="s">
        <v>26</v>
      </c>
      <c r="AL16" s="9" t="s">
        <v>26</v>
      </c>
      <c r="AM16" s="9" t="s">
        <v>72</v>
      </c>
      <c r="AN16" s="9" t="s">
        <v>72</v>
      </c>
      <c r="AO16" s="9" t="s">
        <v>72</v>
      </c>
      <c r="AP16" s="9" t="s">
        <v>38</v>
      </c>
      <c r="AQ16" s="62" t="s">
        <v>185</v>
      </c>
      <c r="AR16" s="9" t="s">
        <v>26</v>
      </c>
      <c r="AS16" s="9" t="s">
        <v>26</v>
      </c>
      <c r="AT16" s="35" t="s">
        <v>36</v>
      </c>
      <c r="AU16" s="31"/>
    </row>
    <row r="17" spans="1:48" s="23" customFormat="1" ht="123" customHeight="1" x14ac:dyDescent="0.25">
      <c r="A17" s="8">
        <f t="shared" si="0"/>
        <v>13</v>
      </c>
      <c r="B17" s="32" t="s">
        <v>73</v>
      </c>
      <c r="C17" s="8">
        <v>31</v>
      </c>
      <c r="D17" s="8">
        <v>31</v>
      </c>
      <c r="E17" s="8">
        <v>0</v>
      </c>
      <c r="F17" s="8">
        <v>4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31</v>
      </c>
      <c r="N17" s="8">
        <v>29</v>
      </c>
      <c r="O17" s="9" t="s">
        <v>74</v>
      </c>
      <c r="P17" s="9" t="s">
        <v>74</v>
      </c>
      <c r="Q17" s="9" t="s">
        <v>74</v>
      </c>
      <c r="R17" s="9" t="s">
        <v>66</v>
      </c>
      <c r="S17" s="9" t="s">
        <v>66</v>
      </c>
      <c r="T17" s="9" t="s">
        <v>66</v>
      </c>
      <c r="U17" s="9" t="s">
        <v>66</v>
      </c>
      <c r="V17" s="9" t="s">
        <v>66</v>
      </c>
      <c r="W17" s="9" t="s">
        <v>66</v>
      </c>
      <c r="X17" s="9" t="s">
        <v>66</v>
      </c>
      <c r="Y17" s="9" t="s">
        <v>66</v>
      </c>
      <c r="Z17" s="9" t="s">
        <v>66</v>
      </c>
      <c r="AA17" s="9" t="s">
        <v>74</v>
      </c>
      <c r="AB17" s="9" t="s">
        <v>66</v>
      </c>
      <c r="AC17" s="9" t="s">
        <v>66</v>
      </c>
      <c r="AD17" s="9" t="s">
        <v>66</v>
      </c>
      <c r="AE17" s="9" t="s">
        <v>66</v>
      </c>
      <c r="AF17" s="9" t="s">
        <v>66</v>
      </c>
      <c r="AG17" s="9" t="s">
        <v>66</v>
      </c>
      <c r="AH17" s="9" t="s">
        <v>66</v>
      </c>
      <c r="AI17" s="9" t="s">
        <v>66</v>
      </c>
      <c r="AJ17" s="9" t="s">
        <v>66</v>
      </c>
      <c r="AK17" s="9" t="s">
        <v>66</v>
      </c>
      <c r="AL17" s="9" t="s">
        <v>66</v>
      </c>
      <c r="AM17" s="9" t="s">
        <v>66</v>
      </c>
      <c r="AN17" s="9" t="s">
        <v>66</v>
      </c>
      <c r="AO17" s="9" t="s">
        <v>66</v>
      </c>
      <c r="AP17" s="9" t="s">
        <v>66</v>
      </c>
      <c r="AQ17" s="9" t="s">
        <v>66</v>
      </c>
      <c r="AR17" s="9" t="s">
        <v>66</v>
      </c>
      <c r="AS17" s="9" t="s">
        <v>66</v>
      </c>
      <c r="AT17" s="36" t="s">
        <v>75</v>
      </c>
      <c r="AU17" s="31"/>
    </row>
    <row r="18" spans="1:48" s="23" customFormat="1" ht="123" customHeight="1" x14ac:dyDescent="0.25">
      <c r="A18" s="8">
        <f t="shared" si="0"/>
        <v>14</v>
      </c>
      <c r="B18" s="32" t="s">
        <v>76</v>
      </c>
      <c r="C18" s="8">
        <v>22</v>
      </c>
      <c r="D18" s="8">
        <v>6</v>
      </c>
      <c r="E18" s="8">
        <v>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8</v>
      </c>
      <c r="O18" s="9" t="s">
        <v>25</v>
      </c>
      <c r="P18" s="9" t="s">
        <v>26</v>
      </c>
      <c r="Q18" s="9" t="s">
        <v>26</v>
      </c>
      <c r="R18" s="9" t="s">
        <v>26</v>
      </c>
      <c r="S18" s="9" t="s">
        <v>46</v>
      </c>
      <c r="T18" s="9" t="s">
        <v>26</v>
      </c>
      <c r="U18" s="9" t="s">
        <v>25</v>
      </c>
      <c r="V18" s="9" t="s">
        <v>25</v>
      </c>
      <c r="W18" s="9" t="s">
        <v>30</v>
      </c>
      <c r="X18" s="9" t="s">
        <v>31</v>
      </c>
      <c r="Y18" s="9" t="s">
        <v>32</v>
      </c>
      <c r="Z18" s="9" t="s">
        <v>32</v>
      </c>
      <c r="AA18" s="9" t="s">
        <v>26</v>
      </c>
      <c r="AB18" s="9" t="s">
        <v>25</v>
      </c>
      <c r="AC18" s="9" t="s">
        <v>25</v>
      </c>
      <c r="AD18" s="9" t="s">
        <v>26</v>
      </c>
      <c r="AE18" s="9" t="s">
        <v>26</v>
      </c>
      <c r="AF18" s="9" t="s">
        <v>77</v>
      </c>
      <c r="AG18" s="9" t="s">
        <v>78</v>
      </c>
      <c r="AH18" s="9" t="s">
        <v>26</v>
      </c>
      <c r="AI18" s="37" t="s">
        <v>25</v>
      </c>
      <c r="AJ18" s="9" t="s">
        <v>25</v>
      </c>
      <c r="AK18" s="9" t="s">
        <v>26</v>
      </c>
      <c r="AL18" s="9" t="s">
        <v>26</v>
      </c>
      <c r="AM18" s="9" t="s">
        <v>26</v>
      </c>
      <c r="AN18" s="9" t="s">
        <v>26</v>
      </c>
      <c r="AO18" s="9" t="s">
        <v>26</v>
      </c>
      <c r="AP18" s="37" t="s">
        <v>25</v>
      </c>
      <c r="AQ18" s="9" t="s">
        <v>25</v>
      </c>
      <c r="AR18" s="9" t="s">
        <v>26</v>
      </c>
      <c r="AS18" s="9" t="s">
        <v>26</v>
      </c>
      <c r="AT18" s="9" t="s">
        <v>79</v>
      </c>
      <c r="AU18" s="31"/>
    </row>
    <row r="19" spans="1:48" s="23" customFormat="1" ht="123" customHeight="1" x14ac:dyDescent="0.25">
      <c r="A19" s="8">
        <f t="shared" si="0"/>
        <v>15</v>
      </c>
      <c r="B19" s="32" t="s">
        <v>80</v>
      </c>
      <c r="C19" s="8">
        <v>31</v>
      </c>
      <c r="D19" s="8">
        <v>31</v>
      </c>
      <c r="E19" s="8">
        <v>0</v>
      </c>
      <c r="F19" s="8">
        <v>4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31</v>
      </c>
      <c r="N19" s="8">
        <v>9</v>
      </c>
      <c r="O19" s="9" t="s">
        <v>65</v>
      </c>
      <c r="P19" s="9" t="s">
        <v>65</v>
      </c>
      <c r="Q19" s="9" t="s">
        <v>65</v>
      </c>
      <c r="R19" s="9" t="s">
        <v>65</v>
      </c>
      <c r="S19" s="9" t="s">
        <v>65</v>
      </c>
      <c r="T19" s="9" t="s">
        <v>65</v>
      </c>
      <c r="U19" s="9" t="s">
        <v>71</v>
      </c>
      <c r="V19" s="9" t="s">
        <v>71</v>
      </c>
      <c r="W19" s="9" t="s">
        <v>81</v>
      </c>
      <c r="X19" s="9" t="s">
        <v>31</v>
      </c>
      <c r="Y19" s="9" t="s">
        <v>32</v>
      </c>
      <c r="Z19" s="9" t="s">
        <v>32</v>
      </c>
      <c r="AA19" s="9" t="s">
        <v>71</v>
      </c>
      <c r="AB19" s="9" t="s">
        <v>65</v>
      </c>
      <c r="AC19" s="9" t="s">
        <v>65</v>
      </c>
      <c r="AD19" s="9" t="s">
        <v>65</v>
      </c>
      <c r="AE19" s="9" t="s">
        <v>65</v>
      </c>
      <c r="AF19" s="9" t="s">
        <v>65</v>
      </c>
      <c r="AG19" s="9" t="s">
        <v>65</v>
      </c>
      <c r="AH19" s="9" t="s">
        <v>65</v>
      </c>
      <c r="AI19" s="9" t="s">
        <v>65</v>
      </c>
      <c r="AJ19" s="9" t="s">
        <v>65</v>
      </c>
      <c r="AK19" s="9" t="s">
        <v>65</v>
      </c>
      <c r="AL19" s="9" t="s">
        <v>65</v>
      </c>
      <c r="AM19" s="9" t="s">
        <v>65</v>
      </c>
      <c r="AN19" s="9" t="s">
        <v>65</v>
      </c>
      <c r="AO19" s="9" t="s">
        <v>65</v>
      </c>
      <c r="AP19" s="9" t="s">
        <v>65</v>
      </c>
      <c r="AQ19" s="9" t="s">
        <v>65</v>
      </c>
      <c r="AR19" s="9" t="s">
        <v>65</v>
      </c>
      <c r="AS19" s="9" t="s">
        <v>65</v>
      </c>
      <c r="AT19" s="9" t="s">
        <v>79</v>
      </c>
      <c r="AU19" s="31"/>
    </row>
    <row r="20" spans="1:48" s="23" customFormat="1" ht="123" customHeight="1" x14ac:dyDescent="0.25">
      <c r="A20" s="8">
        <f t="shared" si="0"/>
        <v>16</v>
      </c>
      <c r="B20" s="32" t="s">
        <v>82</v>
      </c>
      <c r="C20" s="8">
        <v>23</v>
      </c>
      <c r="D20" s="8">
        <v>0</v>
      </c>
      <c r="E20" s="8">
        <v>1.5</v>
      </c>
      <c r="F20" s="8">
        <v>1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2</v>
      </c>
      <c r="O20" s="9" t="s">
        <v>25</v>
      </c>
      <c r="P20" s="9" t="s">
        <v>26</v>
      </c>
      <c r="Q20" s="9" t="s">
        <v>26</v>
      </c>
      <c r="R20" s="9" t="s">
        <v>26</v>
      </c>
      <c r="S20" s="9" t="s">
        <v>26</v>
      </c>
      <c r="T20" s="9" t="s">
        <v>26</v>
      </c>
      <c r="U20" s="9" t="s">
        <v>25</v>
      </c>
      <c r="V20" s="9" t="s">
        <v>25</v>
      </c>
      <c r="W20" s="9" t="s">
        <v>26</v>
      </c>
      <c r="X20" s="9" t="s">
        <v>26</v>
      </c>
      <c r="Y20" s="9" t="s">
        <v>26</v>
      </c>
      <c r="Z20" s="9" t="s">
        <v>26</v>
      </c>
      <c r="AA20" s="9" t="s">
        <v>26</v>
      </c>
      <c r="AB20" s="9" t="s">
        <v>25</v>
      </c>
      <c r="AC20" s="9" t="s">
        <v>25</v>
      </c>
      <c r="AD20" s="9" t="s">
        <v>26</v>
      </c>
      <c r="AE20" s="9" t="s">
        <v>26</v>
      </c>
      <c r="AF20" s="9" t="s">
        <v>26</v>
      </c>
      <c r="AG20" s="9" t="s">
        <v>26</v>
      </c>
      <c r="AH20" s="9" t="s">
        <v>26</v>
      </c>
      <c r="AI20" s="37" t="s">
        <v>25</v>
      </c>
      <c r="AJ20" s="9" t="s">
        <v>25</v>
      </c>
      <c r="AK20" s="9" t="s">
        <v>26</v>
      </c>
      <c r="AL20" s="9" t="s">
        <v>26</v>
      </c>
      <c r="AM20" s="9" t="s">
        <v>26</v>
      </c>
      <c r="AN20" s="9" t="s">
        <v>83</v>
      </c>
      <c r="AO20" s="9" t="s">
        <v>46</v>
      </c>
      <c r="AP20" s="9" t="s">
        <v>38</v>
      </c>
      <c r="AQ20" s="9" t="s">
        <v>25</v>
      </c>
      <c r="AR20" s="9" t="s">
        <v>26</v>
      </c>
      <c r="AS20" s="9" t="s">
        <v>26</v>
      </c>
      <c r="AT20" s="9" t="s">
        <v>84</v>
      </c>
      <c r="AU20" s="31"/>
    </row>
    <row r="21" spans="1:48" s="23" customFormat="1" ht="103.95" customHeight="1" x14ac:dyDescent="0.25">
      <c r="A21" s="8">
        <f t="shared" si="0"/>
        <v>17</v>
      </c>
      <c r="B21" s="32" t="s">
        <v>85</v>
      </c>
      <c r="C21" s="8">
        <v>27</v>
      </c>
      <c r="D21" s="8">
        <v>0</v>
      </c>
      <c r="E21" s="38">
        <v>27</v>
      </c>
      <c r="F21" s="3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27</v>
      </c>
      <c r="N21" s="8">
        <v>7</v>
      </c>
      <c r="O21" s="9" t="s">
        <v>86</v>
      </c>
      <c r="P21" s="9" t="s">
        <v>86</v>
      </c>
      <c r="Q21" s="9" t="s">
        <v>86</v>
      </c>
      <c r="R21" s="9" t="s">
        <v>86</v>
      </c>
      <c r="S21" s="9" t="s">
        <v>86</v>
      </c>
      <c r="T21" s="9" t="s">
        <v>86</v>
      </c>
      <c r="U21" s="9" t="s">
        <v>86</v>
      </c>
      <c r="V21" s="9" t="s">
        <v>86</v>
      </c>
      <c r="W21" s="9" t="s">
        <v>86</v>
      </c>
      <c r="X21" s="9" t="s">
        <v>86</v>
      </c>
      <c r="Y21" s="9" t="s">
        <v>86</v>
      </c>
      <c r="Z21" s="9" t="s">
        <v>86</v>
      </c>
      <c r="AA21" s="9" t="s">
        <v>86</v>
      </c>
      <c r="AB21" s="9" t="s">
        <v>86</v>
      </c>
      <c r="AC21" s="9" t="s">
        <v>86</v>
      </c>
      <c r="AD21" s="9" t="s">
        <v>86</v>
      </c>
      <c r="AE21" s="9" t="s">
        <v>86</v>
      </c>
      <c r="AF21" s="9" t="s">
        <v>86</v>
      </c>
      <c r="AG21" s="9" t="s">
        <v>86</v>
      </c>
      <c r="AH21" s="9" t="s">
        <v>86</v>
      </c>
      <c r="AI21" s="9" t="s">
        <v>9</v>
      </c>
      <c r="AJ21" s="9" t="s">
        <v>9</v>
      </c>
      <c r="AK21" s="9" t="s">
        <v>9</v>
      </c>
      <c r="AL21" s="9" t="s">
        <v>9</v>
      </c>
      <c r="AM21" s="9" t="s">
        <v>86</v>
      </c>
      <c r="AN21" s="9" t="s">
        <v>86</v>
      </c>
      <c r="AO21" s="9" t="s">
        <v>86</v>
      </c>
      <c r="AP21" s="9" t="s">
        <v>86</v>
      </c>
      <c r="AQ21" s="9" t="s">
        <v>86</v>
      </c>
      <c r="AR21" s="9" t="s">
        <v>86</v>
      </c>
      <c r="AS21" s="9" t="s">
        <v>86</v>
      </c>
      <c r="AT21" s="36" t="s">
        <v>87</v>
      </c>
      <c r="AU21" s="31"/>
    </row>
    <row r="22" spans="1:48" s="23" customFormat="1" ht="76.95" customHeight="1" x14ac:dyDescent="0.25">
      <c r="A22" s="8">
        <f t="shared" si="0"/>
        <v>18</v>
      </c>
      <c r="B22" s="32" t="s">
        <v>88</v>
      </c>
      <c r="C22" s="8">
        <v>18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3.5</v>
      </c>
      <c r="J22" s="8">
        <v>0</v>
      </c>
      <c r="K22" s="8">
        <v>0</v>
      </c>
      <c r="L22" s="8">
        <v>0</v>
      </c>
      <c r="M22" s="8">
        <v>0</v>
      </c>
      <c r="N22" s="8">
        <v>1</v>
      </c>
      <c r="O22" s="9" t="s">
        <v>25</v>
      </c>
      <c r="P22" s="9" t="s">
        <v>26</v>
      </c>
      <c r="Q22" s="9" t="s">
        <v>26</v>
      </c>
      <c r="R22" s="9" t="s">
        <v>26</v>
      </c>
      <c r="S22" s="9" t="s">
        <v>26</v>
      </c>
      <c r="T22" s="9" t="s">
        <v>56</v>
      </c>
      <c r="U22" s="9" t="s">
        <v>25</v>
      </c>
      <c r="V22" s="9" t="s">
        <v>25</v>
      </c>
      <c r="W22" s="9" t="s">
        <v>26</v>
      </c>
      <c r="X22" s="9" t="s">
        <v>9</v>
      </c>
      <c r="Y22" s="9" t="s">
        <v>26</v>
      </c>
      <c r="Z22" s="9" t="s">
        <v>9</v>
      </c>
      <c r="AA22" s="9" t="s">
        <v>26</v>
      </c>
      <c r="AB22" s="9" t="s">
        <v>25</v>
      </c>
      <c r="AC22" s="9" t="s">
        <v>25</v>
      </c>
      <c r="AD22" s="9" t="s">
        <v>26</v>
      </c>
      <c r="AE22" s="9" t="s">
        <v>26</v>
      </c>
      <c r="AF22" s="9" t="s">
        <v>26</v>
      </c>
      <c r="AG22" s="9" t="s">
        <v>26</v>
      </c>
      <c r="AH22" s="9" t="s">
        <v>26</v>
      </c>
      <c r="AI22" s="9" t="s">
        <v>25</v>
      </c>
      <c r="AJ22" s="9" t="s">
        <v>25</v>
      </c>
      <c r="AK22" s="9" t="s">
        <v>26</v>
      </c>
      <c r="AL22" s="9" t="s">
        <v>26</v>
      </c>
      <c r="AM22" s="9" t="s">
        <v>26</v>
      </c>
      <c r="AN22" s="9" t="s">
        <v>26</v>
      </c>
      <c r="AO22" s="9" t="s">
        <v>9</v>
      </c>
      <c r="AP22" s="9" t="s">
        <v>25</v>
      </c>
      <c r="AQ22" s="9" t="s">
        <v>25</v>
      </c>
      <c r="AR22" s="9" t="s">
        <v>26</v>
      </c>
      <c r="AS22" s="9" t="s">
        <v>26</v>
      </c>
      <c r="AT22" s="8" t="s">
        <v>89</v>
      </c>
      <c r="AU22" s="31"/>
      <c r="AV22" s="31"/>
    </row>
    <row r="23" spans="1:48" s="23" customFormat="1" ht="76.95" customHeight="1" x14ac:dyDescent="0.25">
      <c r="A23" s="8">
        <f t="shared" si="0"/>
        <v>19</v>
      </c>
      <c r="B23" s="32" t="s">
        <v>90</v>
      </c>
      <c r="C23" s="8">
        <v>22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0.5</v>
      </c>
      <c r="J23" s="8">
        <v>0</v>
      </c>
      <c r="K23" s="8">
        <v>0</v>
      </c>
      <c r="L23" s="8">
        <v>0</v>
      </c>
      <c r="M23" s="8">
        <v>0</v>
      </c>
      <c r="N23" s="8">
        <v>5.5</v>
      </c>
      <c r="O23" s="9" t="s">
        <v>25</v>
      </c>
      <c r="P23" s="9" t="s">
        <v>26</v>
      </c>
      <c r="Q23" s="9" t="s">
        <v>26</v>
      </c>
      <c r="R23" s="9" t="s">
        <v>26</v>
      </c>
      <c r="S23" s="9" t="s">
        <v>26</v>
      </c>
      <c r="T23" s="9" t="s">
        <v>26</v>
      </c>
      <c r="U23" s="9" t="s">
        <v>25</v>
      </c>
      <c r="V23" s="9" t="s">
        <v>25</v>
      </c>
      <c r="W23" s="9" t="s">
        <v>26</v>
      </c>
      <c r="X23" s="9" t="s">
        <v>26</v>
      </c>
      <c r="Y23" s="9" t="s">
        <v>26</v>
      </c>
      <c r="Z23" s="9" t="s">
        <v>26</v>
      </c>
      <c r="AA23" s="9" t="s">
        <v>26</v>
      </c>
      <c r="AB23" s="9" t="s">
        <v>25</v>
      </c>
      <c r="AC23" s="9" t="s">
        <v>25</v>
      </c>
      <c r="AD23" s="62" t="s">
        <v>191</v>
      </c>
      <c r="AE23" s="9" t="s">
        <v>26</v>
      </c>
      <c r="AF23" s="9" t="s">
        <v>26</v>
      </c>
      <c r="AG23" s="9" t="s">
        <v>26</v>
      </c>
      <c r="AH23" s="9" t="s">
        <v>26</v>
      </c>
      <c r="AI23" s="9" t="s">
        <v>25</v>
      </c>
      <c r="AJ23" s="9" t="s">
        <v>25</v>
      </c>
      <c r="AK23" s="9" t="s">
        <v>26</v>
      </c>
      <c r="AL23" s="9" t="s">
        <v>26</v>
      </c>
      <c r="AM23" s="9" t="s">
        <v>26</v>
      </c>
      <c r="AN23" s="9" t="s">
        <v>26</v>
      </c>
      <c r="AO23" s="9" t="s">
        <v>26</v>
      </c>
      <c r="AP23" s="9" t="s">
        <v>25</v>
      </c>
      <c r="AQ23" s="9" t="s">
        <v>25</v>
      </c>
      <c r="AR23" s="9" t="s">
        <v>26</v>
      </c>
      <c r="AS23" s="9" t="s">
        <v>26</v>
      </c>
      <c r="AT23" s="8" t="s">
        <v>91</v>
      </c>
      <c r="AU23" s="31"/>
      <c r="AV23" s="31"/>
    </row>
    <row r="24" spans="1:48" s="23" customFormat="1" ht="103.95" customHeight="1" x14ac:dyDescent="0.25">
      <c r="A24" s="8">
        <f t="shared" si="0"/>
        <v>20</v>
      </c>
      <c r="B24" s="32" t="s">
        <v>92</v>
      </c>
      <c r="C24" s="8">
        <v>27</v>
      </c>
      <c r="D24" s="8">
        <v>0</v>
      </c>
      <c r="E24" s="8">
        <v>27</v>
      </c>
      <c r="F24" s="3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27</v>
      </c>
      <c r="N24" s="8">
        <v>0</v>
      </c>
      <c r="O24" s="9" t="s">
        <v>86</v>
      </c>
      <c r="P24" s="9" t="s">
        <v>86</v>
      </c>
      <c r="Q24" s="9" t="s">
        <v>86</v>
      </c>
      <c r="R24" s="9" t="s">
        <v>86</v>
      </c>
      <c r="S24" s="9" t="s">
        <v>9</v>
      </c>
      <c r="T24" s="9" t="s">
        <v>9</v>
      </c>
      <c r="U24" s="9" t="s">
        <v>9</v>
      </c>
      <c r="V24" s="9" t="s">
        <v>9</v>
      </c>
      <c r="W24" s="9" t="s">
        <v>86</v>
      </c>
      <c r="X24" s="9" t="s">
        <v>86</v>
      </c>
      <c r="Y24" s="9" t="s">
        <v>86</v>
      </c>
      <c r="Z24" s="9" t="s">
        <v>86</v>
      </c>
      <c r="AA24" s="9" t="s">
        <v>86</v>
      </c>
      <c r="AB24" s="9" t="s">
        <v>86</v>
      </c>
      <c r="AC24" s="9" t="s">
        <v>86</v>
      </c>
      <c r="AD24" s="9" t="s">
        <v>86</v>
      </c>
      <c r="AE24" s="9" t="s">
        <v>86</v>
      </c>
      <c r="AF24" s="9" t="s">
        <v>86</v>
      </c>
      <c r="AG24" s="9" t="s">
        <v>86</v>
      </c>
      <c r="AH24" s="9" t="s">
        <v>86</v>
      </c>
      <c r="AI24" s="9" t="s">
        <v>86</v>
      </c>
      <c r="AJ24" s="9" t="s">
        <v>86</v>
      </c>
      <c r="AK24" s="9" t="s">
        <v>86</v>
      </c>
      <c r="AL24" s="9" t="s">
        <v>86</v>
      </c>
      <c r="AM24" s="9" t="s">
        <v>86</v>
      </c>
      <c r="AN24" s="9" t="s">
        <v>86</v>
      </c>
      <c r="AO24" s="9" t="s">
        <v>86</v>
      </c>
      <c r="AP24" s="9" t="s">
        <v>86</v>
      </c>
      <c r="AQ24" s="9" t="s">
        <v>86</v>
      </c>
      <c r="AR24" s="9" t="s">
        <v>86</v>
      </c>
      <c r="AS24" s="9" t="s">
        <v>86</v>
      </c>
      <c r="AT24" s="9" t="s">
        <v>93</v>
      </c>
      <c r="AU24" s="31"/>
    </row>
    <row r="25" spans="1:48" s="23" customFormat="1" ht="103.95" customHeight="1" x14ac:dyDescent="0.25">
      <c r="A25" s="8">
        <f t="shared" si="0"/>
        <v>21</v>
      </c>
      <c r="B25" s="32" t="s">
        <v>94</v>
      </c>
      <c r="C25" s="8">
        <v>30</v>
      </c>
      <c r="D25" s="8">
        <v>30</v>
      </c>
      <c r="E25" s="8">
        <v>0</v>
      </c>
      <c r="F25" s="8">
        <v>3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30</v>
      </c>
      <c r="N25" s="8">
        <v>20</v>
      </c>
      <c r="O25" s="9" t="s">
        <v>67</v>
      </c>
      <c r="P25" s="9" t="s">
        <v>67</v>
      </c>
      <c r="Q25" s="9" t="s">
        <v>67</v>
      </c>
      <c r="R25" s="9" t="s">
        <v>67</v>
      </c>
      <c r="S25" s="9" t="s">
        <v>67</v>
      </c>
      <c r="T25" s="9" t="s">
        <v>67</v>
      </c>
      <c r="U25" s="9" t="s">
        <v>67</v>
      </c>
      <c r="V25" s="9" t="s">
        <v>67</v>
      </c>
      <c r="W25" s="9" t="s">
        <v>67</v>
      </c>
      <c r="X25" s="9" t="s">
        <v>67</v>
      </c>
      <c r="Y25" s="9" t="s">
        <v>67</v>
      </c>
      <c r="Z25" s="9" t="s">
        <v>67</v>
      </c>
      <c r="AA25" s="9" t="s">
        <v>67</v>
      </c>
      <c r="AB25" s="9" t="s">
        <v>67</v>
      </c>
      <c r="AC25" s="9" t="s">
        <v>67</v>
      </c>
      <c r="AD25" s="9" t="s">
        <v>67</v>
      </c>
      <c r="AE25" s="9" t="s">
        <v>67</v>
      </c>
      <c r="AF25" s="9" t="s">
        <v>67</v>
      </c>
      <c r="AG25" s="9" t="s">
        <v>67</v>
      </c>
      <c r="AH25" s="9" t="s">
        <v>67</v>
      </c>
      <c r="AI25" s="9" t="s">
        <v>67</v>
      </c>
      <c r="AJ25" s="9" t="s">
        <v>67</v>
      </c>
      <c r="AK25" s="9" t="s">
        <v>67</v>
      </c>
      <c r="AL25" s="9" t="s">
        <v>67</v>
      </c>
      <c r="AM25" s="9" t="s">
        <v>67</v>
      </c>
      <c r="AN25" s="62" t="s">
        <v>189</v>
      </c>
      <c r="AO25" s="9" t="s">
        <v>66</v>
      </c>
      <c r="AP25" s="9" t="s">
        <v>66</v>
      </c>
      <c r="AQ25" s="9" t="s">
        <v>66</v>
      </c>
      <c r="AR25" s="9" t="s">
        <v>67</v>
      </c>
      <c r="AS25" s="9" t="s">
        <v>67</v>
      </c>
      <c r="AT25" s="36" t="s">
        <v>95</v>
      </c>
      <c r="AU25" s="31"/>
    </row>
    <row r="26" spans="1:48" s="23" customFormat="1" ht="103.95" customHeight="1" x14ac:dyDescent="0.25">
      <c r="A26" s="8">
        <f t="shared" si="0"/>
        <v>22</v>
      </c>
      <c r="B26" s="32" t="s">
        <v>96</v>
      </c>
      <c r="C26" s="8">
        <v>24</v>
      </c>
      <c r="D26" s="8">
        <v>24</v>
      </c>
      <c r="E26" s="8">
        <v>0</v>
      </c>
      <c r="F26" s="8">
        <v>0</v>
      </c>
      <c r="G26" s="8">
        <v>0</v>
      </c>
      <c r="H26" s="8">
        <v>0</v>
      </c>
      <c r="I26" s="8">
        <v>3</v>
      </c>
      <c r="J26" s="8">
        <v>0</v>
      </c>
      <c r="K26" s="8">
        <v>0</v>
      </c>
      <c r="L26" s="8">
        <v>0</v>
      </c>
      <c r="M26" s="8">
        <v>24</v>
      </c>
      <c r="N26" s="8">
        <v>21</v>
      </c>
      <c r="O26" s="9" t="s">
        <v>9</v>
      </c>
      <c r="P26" s="9" t="s">
        <v>97</v>
      </c>
      <c r="Q26" s="9" t="s">
        <v>97</v>
      </c>
      <c r="R26" s="9" t="s">
        <v>97</v>
      </c>
      <c r="S26" s="9" t="s">
        <v>97</v>
      </c>
      <c r="T26" s="9" t="s">
        <v>97</v>
      </c>
      <c r="U26" s="9" t="s">
        <v>97</v>
      </c>
      <c r="V26" s="9" t="s">
        <v>9</v>
      </c>
      <c r="W26" s="9" t="s">
        <v>97</v>
      </c>
      <c r="X26" s="9" t="s">
        <v>9</v>
      </c>
      <c r="Y26" s="9" t="s">
        <v>9</v>
      </c>
      <c r="Z26" s="9" t="s">
        <v>98</v>
      </c>
      <c r="AA26" s="9" t="s">
        <v>98</v>
      </c>
      <c r="AB26" s="9" t="s">
        <v>98</v>
      </c>
      <c r="AC26" s="9" t="s">
        <v>98</v>
      </c>
      <c r="AD26" s="9" t="s">
        <v>98</v>
      </c>
      <c r="AE26" s="9" t="s">
        <v>9</v>
      </c>
      <c r="AF26" s="9" t="s">
        <v>98</v>
      </c>
      <c r="AG26" s="9" t="s">
        <v>98</v>
      </c>
      <c r="AH26" s="9" t="s">
        <v>98</v>
      </c>
      <c r="AI26" s="9" t="s">
        <v>9</v>
      </c>
      <c r="AJ26" s="9" t="s">
        <v>98</v>
      </c>
      <c r="AK26" s="9" t="s">
        <v>98</v>
      </c>
      <c r="AL26" s="9" t="s">
        <v>98</v>
      </c>
      <c r="AM26" s="9" t="s">
        <v>98</v>
      </c>
      <c r="AN26" s="62" t="s">
        <v>188</v>
      </c>
      <c r="AO26" s="9" t="s">
        <v>98</v>
      </c>
      <c r="AP26" s="9" t="s">
        <v>98</v>
      </c>
      <c r="AQ26" s="9" t="s">
        <v>9</v>
      </c>
      <c r="AR26" s="9" t="s">
        <v>99</v>
      </c>
      <c r="AS26" s="9" t="s">
        <v>99</v>
      </c>
      <c r="AT26" s="9" t="s">
        <v>100</v>
      </c>
      <c r="AU26" s="31"/>
      <c r="AV26" s="31"/>
    </row>
    <row r="27" spans="1:48" s="23" customFormat="1" ht="103.95" customHeight="1" x14ac:dyDescent="0.25">
      <c r="A27" s="8">
        <f t="shared" si="0"/>
        <v>23</v>
      </c>
      <c r="B27" s="39" t="s">
        <v>101</v>
      </c>
      <c r="C27" s="8">
        <v>26</v>
      </c>
      <c r="D27" s="8">
        <v>26</v>
      </c>
      <c r="E27" s="8">
        <v>0</v>
      </c>
      <c r="F27" s="8">
        <v>0</v>
      </c>
      <c r="G27" s="8">
        <v>0</v>
      </c>
      <c r="H27" s="8">
        <v>0</v>
      </c>
      <c r="I27" s="8">
        <v>1</v>
      </c>
      <c r="J27" s="8">
        <v>0</v>
      </c>
      <c r="K27" s="8">
        <v>0</v>
      </c>
      <c r="L27" s="8">
        <v>0</v>
      </c>
      <c r="M27" s="8">
        <v>26</v>
      </c>
      <c r="N27" s="8">
        <v>20</v>
      </c>
      <c r="O27" s="9" t="s">
        <v>97</v>
      </c>
      <c r="P27" s="9" t="s">
        <v>97</v>
      </c>
      <c r="Q27" s="9" t="s">
        <v>97</v>
      </c>
      <c r="R27" s="9" t="s">
        <v>9</v>
      </c>
      <c r="S27" s="9" t="s">
        <v>97</v>
      </c>
      <c r="T27" s="9" t="s">
        <v>97</v>
      </c>
      <c r="U27" s="9" t="s">
        <v>97</v>
      </c>
      <c r="V27" s="9" t="s">
        <v>97</v>
      </c>
      <c r="W27" s="9" t="s">
        <v>97</v>
      </c>
      <c r="X27" s="9" t="s">
        <v>98</v>
      </c>
      <c r="Y27" s="9" t="s">
        <v>98</v>
      </c>
      <c r="Z27" s="9" t="s">
        <v>98</v>
      </c>
      <c r="AA27" s="9" t="s">
        <v>9</v>
      </c>
      <c r="AB27" s="9" t="s">
        <v>98</v>
      </c>
      <c r="AC27" s="9" t="s">
        <v>98</v>
      </c>
      <c r="AD27" s="9" t="s">
        <v>98</v>
      </c>
      <c r="AE27" s="9" t="s">
        <v>98</v>
      </c>
      <c r="AF27" s="9" t="s">
        <v>98</v>
      </c>
      <c r="AG27" s="9" t="s">
        <v>9</v>
      </c>
      <c r="AH27" s="9" t="s">
        <v>98</v>
      </c>
      <c r="AI27" s="9" t="s">
        <v>9</v>
      </c>
      <c r="AJ27" s="9" t="s">
        <v>98</v>
      </c>
      <c r="AK27" s="9" t="s">
        <v>98</v>
      </c>
      <c r="AL27" s="9" t="s">
        <v>98</v>
      </c>
      <c r="AM27" s="9" t="s">
        <v>98</v>
      </c>
      <c r="AN27" s="9" t="s">
        <v>9</v>
      </c>
      <c r="AO27" s="9" t="s">
        <v>99</v>
      </c>
      <c r="AP27" s="9" t="s">
        <v>99</v>
      </c>
      <c r="AQ27" s="9" t="s">
        <v>99</v>
      </c>
      <c r="AR27" s="9" t="s">
        <v>98</v>
      </c>
      <c r="AS27" s="9" t="s">
        <v>98</v>
      </c>
      <c r="AT27" s="36" t="s">
        <v>102</v>
      </c>
      <c r="AU27" s="31"/>
    </row>
    <row r="28" spans="1:48" s="23" customFormat="1" ht="103.95" customHeight="1" x14ac:dyDescent="0.25">
      <c r="A28" s="8">
        <f t="shared" si="0"/>
        <v>24</v>
      </c>
      <c r="B28" s="32" t="s">
        <v>103</v>
      </c>
      <c r="C28" s="8">
        <v>27</v>
      </c>
      <c r="D28" s="8">
        <v>27</v>
      </c>
      <c r="E28" s="3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27</v>
      </c>
      <c r="N28" s="8">
        <v>22</v>
      </c>
      <c r="O28" s="9" t="s">
        <v>99</v>
      </c>
      <c r="P28" s="9" t="s">
        <v>99</v>
      </c>
      <c r="Q28" s="9" t="s">
        <v>99</v>
      </c>
      <c r="R28" s="9" t="s">
        <v>99</v>
      </c>
      <c r="S28" s="9" t="s">
        <v>99</v>
      </c>
      <c r="T28" s="9" t="s">
        <v>99</v>
      </c>
      <c r="U28" s="9" t="s">
        <v>99</v>
      </c>
      <c r="V28" s="9" t="s">
        <v>9</v>
      </c>
      <c r="W28" s="9" t="s">
        <v>99</v>
      </c>
      <c r="X28" s="9" t="s">
        <v>99</v>
      </c>
      <c r="Y28" s="9" t="s">
        <v>99</v>
      </c>
      <c r="Z28" s="9" t="s">
        <v>9</v>
      </c>
      <c r="AA28" s="9" t="s">
        <v>9</v>
      </c>
      <c r="AB28" s="9" t="s">
        <v>99</v>
      </c>
      <c r="AC28" s="9" t="s">
        <v>99</v>
      </c>
      <c r="AD28" s="9" t="s">
        <v>99</v>
      </c>
      <c r="AE28" s="9" t="s">
        <v>99</v>
      </c>
      <c r="AF28" s="9" t="s">
        <v>99</v>
      </c>
      <c r="AG28" s="9" t="s">
        <v>99</v>
      </c>
      <c r="AH28" s="9" t="s">
        <v>99</v>
      </c>
      <c r="AI28" s="9" t="s">
        <v>9</v>
      </c>
      <c r="AJ28" s="9" t="s">
        <v>99</v>
      </c>
      <c r="AK28" s="9" t="s">
        <v>99</v>
      </c>
      <c r="AL28" s="9" t="s">
        <v>99</v>
      </c>
      <c r="AM28" s="9" t="s">
        <v>99</v>
      </c>
      <c r="AN28" s="9" t="s">
        <v>99</v>
      </c>
      <c r="AO28" s="9" t="s">
        <v>99</v>
      </c>
      <c r="AP28" s="9" t="s">
        <v>99</v>
      </c>
      <c r="AQ28" s="9" t="s">
        <v>99</v>
      </c>
      <c r="AR28" s="9" t="s">
        <v>99</v>
      </c>
      <c r="AS28" s="9" t="s">
        <v>99</v>
      </c>
      <c r="AT28" s="9" t="s">
        <v>104</v>
      </c>
      <c r="AU28" s="31"/>
      <c r="AV28" s="31"/>
    </row>
    <row r="29" spans="1:48" s="23" customFormat="1" ht="103.95" customHeight="1" x14ac:dyDescent="0.25">
      <c r="A29" s="8">
        <f t="shared" si="0"/>
        <v>25</v>
      </c>
      <c r="B29" s="32" t="s">
        <v>105</v>
      </c>
      <c r="C29" s="8">
        <v>26</v>
      </c>
      <c r="D29" s="8">
        <v>26</v>
      </c>
      <c r="E29" s="8">
        <v>0</v>
      </c>
      <c r="F29" s="8">
        <v>0</v>
      </c>
      <c r="G29" s="8">
        <v>0</v>
      </c>
      <c r="H29" s="8">
        <v>0</v>
      </c>
      <c r="I29" s="8">
        <v>1</v>
      </c>
      <c r="J29" s="8">
        <v>0</v>
      </c>
      <c r="K29" s="8">
        <v>0</v>
      </c>
      <c r="L29" s="8">
        <v>0</v>
      </c>
      <c r="M29" s="8">
        <v>26</v>
      </c>
      <c r="N29" s="8">
        <v>17</v>
      </c>
      <c r="O29" s="9" t="s">
        <v>9</v>
      </c>
      <c r="P29" s="9" t="s">
        <v>98</v>
      </c>
      <c r="Q29" s="9" t="s">
        <v>98</v>
      </c>
      <c r="R29" s="9" t="s">
        <v>98</v>
      </c>
      <c r="S29" s="9" t="s">
        <v>98</v>
      </c>
      <c r="T29" s="9" t="s">
        <v>98</v>
      </c>
      <c r="U29" s="9" t="s">
        <v>98</v>
      </c>
      <c r="V29" s="9" t="s">
        <v>98</v>
      </c>
      <c r="W29" s="9" t="s">
        <v>98</v>
      </c>
      <c r="X29" s="9" t="s">
        <v>98</v>
      </c>
      <c r="Y29" s="9" t="s">
        <v>9</v>
      </c>
      <c r="Z29" s="9" t="s">
        <v>9</v>
      </c>
      <c r="AA29" s="9" t="s">
        <v>98</v>
      </c>
      <c r="AB29" s="9" t="s">
        <v>98</v>
      </c>
      <c r="AC29" s="9" t="s">
        <v>9</v>
      </c>
      <c r="AD29" s="9" t="s">
        <v>98</v>
      </c>
      <c r="AE29" s="9" t="s">
        <v>98</v>
      </c>
      <c r="AF29" s="9" t="s">
        <v>98</v>
      </c>
      <c r="AG29" s="9" t="s">
        <v>98</v>
      </c>
      <c r="AH29" s="9" t="s">
        <v>98</v>
      </c>
      <c r="AI29" s="9" t="s">
        <v>98</v>
      </c>
      <c r="AJ29" s="9" t="s">
        <v>9</v>
      </c>
      <c r="AK29" s="9" t="s">
        <v>98</v>
      </c>
      <c r="AL29" s="9" t="s">
        <v>99</v>
      </c>
      <c r="AM29" s="9" t="s">
        <v>99</v>
      </c>
      <c r="AN29" s="9" t="s">
        <v>99</v>
      </c>
      <c r="AO29" s="9" t="s">
        <v>98</v>
      </c>
      <c r="AP29" s="9" t="s">
        <v>98</v>
      </c>
      <c r="AQ29" s="9" t="s">
        <v>98</v>
      </c>
      <c r="AR29" s="9" t="s">
        <v>98</v>
      </c>
      <c r="AS29" s="9" t="s">
        <v>98</v>
      </c>
      <c r="AT29" s="36" t="s">
        <v>106</v>
      </c>
      <c r="AU29" s="31"/>
    </row>
    <row r="30" spans="1:48" s="23" customFormat="1" ht="103.95" customHeight="1" x14ac:dyDescent="0.25">
      <c r="A30" s="8">
        <f t="shared" si="0"/>
        <v>26</v>
      </c>
      <c r="B30" s="32" t="s">
        <v>107</v>
      </c>
      <c r="C30" s="8">
        <v>26</v>
      </c>
      <c r="D30" s="8">
        <v>26</v>
      </c>
      <c r="E30" s="8">
        <v>0</v>
      </c>
      <c r="F30" s="32">
        <v>0</v>
      </c>
      <c r="G30" s="8">
        <v>0</v>
      </c>
      <c r="H30" s="8">
        <v>0</v>
      </c>
      <c r="I30" s="8">
        <v>1</v>
      </c>
      <c r="J30" s="8">
        <v>0</v>
      </c>
      <c r="K30" s="8">
        <v>0</v>
      </c>
      <c r="L30" s="8">
        <v>0</v>
      </c>
      <c r="M30" s="8">
        <v>26</v>
      </c>
      <c r="N30" s="8">
        <v>9</v>
      </c>
      <c r="O30" s="9" t="s">
        <v>9</v>
      </c>
      <c r="P30" s="9" t="s">
        <v>9</v>
      </c>
      <c r="Q30" s="9" t="s">
        <v>9</v>
      </c>
      <c r="R30" s="9" t="s">
        <v>108</v>
      </c>
      <c r="S30" s="9" t="s">
        <v>108</v>
      </c>
      <c r="T30" s="9" t="s">
        <v>108</v>
      </c>
      <c r="U30" s="9" t="s">
        <v>9</v>
      </c>
      <c r="V30" s="9" t="s">
        <v>108</v>
      </c>
      <c r="W30" s="9" t="s">
        <v>108</v>
      </c>
      <c r="X30" s="9" t="s">
        <v>108</v>
      </c>
      <c r="Y30" s="9" t="s">
        <v>108</v>
      </c>
      <c r="Z30" s="9" t="s">
        <v>108</v>
      </c>
      <c r="AA30" s="9" t="s">
        <v>108</v>
      </c>
      <c r="AB30" s="9" t="s">
        <v>108</v>
      </c>
      <c r="AC30" s="9" t="s">
        <v>108</v>
      </c>
      <c r="AD30" s="9" t="s">
        <v>108</v>
      </c>
      <c r="AE30" s="9" t="s">
        <v>108</v>
      </c>
      <c r="AF30" s="9" t="s">
        <v>108</v>
      </c>
      <c r="AG30" s="9" t="s">
        <v>108</v>
      </c>
      <c r="AH30" s="9" t="s">
        <v>108</v>
      </c>
      <c r="AI30" s="9" t="s">
        <v>108</v>
      </c>
      <c r="AJ30" s="9" t="s">
        <v>108</v>
      </c>
      <c r="AK30" s="9" t="s">
        <v>108</v>
      </c>
      <c r="AL30" s="9" t="s">
        <v>108</v>
      </c>
      <c r="AM30" s="9" t="s">
        <v>108</v>
      </c>
      <c r="AN30" s="9" t="s">
        <v>108</v>
      </c>
      <c r="AO30" s="9" t="s">
        <v>108</v>
      </c>
      <c r="AP30" s="9" t="s">
        <v>108</v>
      </c>
      <c r="AQ30" s="9" t="s">
        <v>108</v>
      </c>
      <c r="AR30" s="9" t="s">
        <v>108</v>
      </c>
      <c r="AS30" s="9" t="s">
        <v>9</v>
      </c>
      <c r="AT30" s="8" t="s">
        <v>109</v>
      </c>
      <c r="AU30" s="31"/>
    </row>
    <row r="31" spans="1:48" s="23" customFormat="1" ht="103.95" customHeight="1" x14ac:dyDescent="0.25">
      <c r="A31" s="8">
        <f t="shared" si="0"/>
        <v>27</v>
      </c>
      <c r="B31" s="32" t="s">
        <v>110</v>
      </c>
      <c r="C31" s="8">
        <v>27</v>
      </c>
      <c r="D31" s="8">
        <v>27</v>
      </c>
      <c r="E31" s="8">
        <v>0</v>
      </c>
      <c r="F31" s="32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27</v>
      </c>
      <c r="N31" s="8">
        <v>26</v>
      </c>
      <c r="O31" s="9" t="s">
        <v>9</v>
      </c>
      <c r="P31" s="9" t="s">
        <v>108</v>
      </c>
      <c r="Q31" s="9" t="s">
        <v>108</v>
      </c>
      <c r="R31" s="9" t="s">
        <v>108</v>
      </c>
      <c r="S31" s="9" t="s">
        <v>108</v>
      </c>
      <c r="T31" s="9" t="s">
        <v>108</v>
      </c>
      <c r="U31" s="9" t="s">
        <v>9</v>
      </c>
      <c r="V31" s="9" t="s">
        <v>108</v>
      </c>
      <c r="W31" s="9" t="s">
        <v>108</v>
      </c>
      <c r="X31" s="9" t="s">
        <v>108</v>
      </c>
      <c r="Y31" s="9" t="s">
        <v>108</v>
      </c>
      <c r="Z31" s="9" t="s">
        <v>108</v>
      </c>
      <c r="AA31" s="9" t="s">
        <v>108</v>
      </c>
      <c r="AB31" s="9" t="s">
        <v>108</v>
      </c>
      <c r="AC31" s="9" t="s">
        <v>108</v>
      </c>
      <c r="AD31" s="9" t="s">
        <v>108</v>
      </c>
      <c r="AE31" s="9" t="s">
        <v>108</v>
      </c>
      <c r="AF31" s="9" t="s">
        <v>108</v>
      </c>
      <c r="AG31" s="9" t="s">
        <v>108</v>
      </c>
      <c r="AH31" s="9" t="s">
        <v>108</v>
      </c>
      <c r="AI31" s="9" t="s">
        <v>108</v>
      </c>
      <c r="AJ31" s="9" t="s">
        <v>9</v>
      </c>
      <c r="AK31" s="9" t="s">
        <v>108</v>
      </c>
      <c r="AL31" s="9" t="s">
        <v>108</v>
      </c>
      <c r="AM31" s="9" t="s">
        <v>108</v>
      </c>
      <c r="AN31" s="9" t="s">
        <v>108</v>
      </c>
      <c r="AO31" s="9" t="s">
        <v>108</v>
      </c>
      <c r="AP31" s="9" t="s">
        <v>108</v>
      </c>
      <c r="AQ31" s="9" t="s">
        <v>108</v>
      </c>
      <c r="AR31" s="9" t="s">
        <v>108</v>
      </c>
      <c r="AS31" s="9" t="s">
        <v>9</v>
      </c>
      <c r="AT31" s="8" t="s">
        <v>111</v>
      </c>
      <c r="AU31" s="31"/>
    </row>
    <row r="32" spans="1:48" s="23" customFormat="1" ht="103.95" customHeight="1" x14ac:dyDescent="0.25">
      <c r="A32" s="8">
        <f t="shared" si="0"/>
        <v>28</v>
      </c>
      <c r="B32" s="32" t="s">
        <v>112</v>
      </c>
      <c r="C32" s="8">
        <v>26.5</v>
      </c>
      <c r="D32" s="8">
        <v>26.5</v>
      </c>
      <c r="E32" s="8">
        <v>0</v>
      </c>
      <c r="F32" s="8">
        <v>0</v>
      </c>
      <c r="G32" s="8">
        <v>0</v>
      </c>
      <c r="H32" s="8">
        <v>0</v>
      </c>
      <c r="I32" s="8">
        <v>0.5</v>
      </c>
      <c r="J32" s="8">
        <v>0</v>
      </c>
      <c r="K32" s="8">
        <v>0</v>
      </c>
      <c r="L32" s="8">
        <v>0</v>
      </c>
      <c r="M32" s="8">
        <v>26.5</v>
      </c>
      <c r="N32" s="8">
        <v>8.5</v>
      </c>
      <c r="O32" s="9" t="s">
        <v>98</v>
      </c>
      <c r="P32" s="9" t="s">
        <v>98</v>
      </c>
      <c r="Q32" s="9" t="s">
        <v>98</v>
      </c>
      <c r="R32" s="9" t="s">
        <v>98</v>
      </c>
      <c r="S32" s="9" t="s">
        <v>98</v>
      </c>
      <c r="T32" s="9" t="s">
        <v>98</v>
      </c>
      <c r="U32" s="62" t="s">
        <v>186</v>
      </c>
      <c r="V32" s="9" t="s">
        <v>98</v>
      </c>
      <c r="W32" s="9" t="s">
        <v>98</v>
      </c>
      <c r="X32" s="9" t="s">
        <v>98</v>
      </c>
      <c r="Y32" s="9" t="s">
        <v>98</v>
      </c>
      <c r="Z32" s="9" t="s">
        <v>98</v>
      </c>
      <c r="AA32" s="9" t="s">
        <v>98</v>
      </c>
      <c r="AB32" s="9" t="s">
        <v>9</v>
      </c>
      <c r="AC32" s="9" t="s">
        <v>9</v>
      </c>
      <c r="AD32" s="9" t="s">
        <v>98</v>
      </c>
      <c r="AE32" s="9" t="s">
        <v>98</v>
      </c>
      <c r="AF32" s="9" t="s">
        <v>98</v>
      </c>
      <c r="AG32" s="9" t="s">
        <v>98</v>
      </c>
      <c r="AH32" s="9" t="s">
        <v>98</v>
      </c>
      <c r="AI32" s="9" t="s">
        <v>98</v>
      </c>
      <c r="AJ32" s="9" t="s">
        <v>9</v>
      </c>
      <c r="AK32" s="9" t="s">
        <v>9</v>
      </c>
      <c r="AL32" s="9" t="s">
        <v>98</v>
      </c>
      <c r="AM32" s="9" t="s">
        <v>98</v>
      </c>
      <c r="AN32" s="9" t="s">
        <v>98</v>
      </c>
      <c r="AO32" s="9" t="s">
        <v>98</v>
      </c>
      <c r="AP32" s="9" t="s">
        <v>98</v>
      </c>
      <c r="AQ32" s="9" t="s">
        <v>98</v>
      </c>
      <c r="AR32" s="9" t="s">
        <v>98</v>
      </c>
      <c r="AS32" s="9" t="s">
        <v>98</v>
      </c>
      <c r="AT32" s="9" t="s">
        <v>113</v>
      </c>
      <c r="AU32" s="31"/>
      <c r="AV32" s="31"/>
    </row>
    <row r="33" spans="1:48" s="23" customFormat="1" ht="102" customHeight="1" x14ac:dyDescent="0.25">
      <c r="A33" s="8">
        <f t="shared" si="0"/>
        <v>29</v>
      </c>
      <c r="B33" s="8" t="s">
        <v>114</v>
      </c>
      <c r="C33" s="8">
        <v>29</v>
      </c>
      <c r="D33" s="8">
        <v>24</v>
      </c>
      <c r="E33" s="8">
        <v>0</v>
      </c>
      <c r="F33" s="8">
        <v>2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23</v>
      </c>
      <c r="N33" s="8">
        <v>18</v>
      </c>
      <c r="O33" s="9" t="s">
        <v>9</v>
      </c>
      <c r="P33" s="9" t="s">
        <v>42</v>
      </c>
      <c r="Q33" s="9" t="s">
        <v>26</v>
      </c>
      <c r="R33" s="9" t="s">
        <v>42</v>
      </c>
      <c r="S33" s="9" t="s">
        <v>42</v>
      </c>
      <c r="T33" s="9" t="s">
        <v>42</v>
      </c>
      <c r="U33" s="9" t="s">
        <v>42</v>
      </c>
      <c r="V33" s="9" t="s">
        <v>42</v>
      </c>
      <c r="W33" s="9" t="s">
        <v>42</v>
      </c>
      <c r="X33" s="9" t="s">
        <v>108</v>
      </c>
      <c r="Y33" s="9" t="s">
        <v>115</v>
      </c>
      <c r="Z33" s="9" t="s">
        <v>26</v>
      </c>
      <c r="AA33" s="9" t="s">
        <v>26</v>
      </c>
      <c r="AB33" s="9" t="s">
        <v>26</v>
      </c>
      <c r="AC33" s="9" t="s">
        <v>108</v>
      </c>
      <c r="AD33" s="9" t="s">
        <v>108</v>
      </c>
      <c r="AE33" s="9" t="s">
        <v>115</v>
      </c>
      <c r="AF33" s="9" t="s">
        <v>26</v>
      </c>
      <c r="AG33" s="9" t="s">
        <v>115</v>
      </c>
      <c r="AH33" s="9" t="s">
        <v>42</v>
      </c>
      <c r="AI33" s="9" t="s">
        <v>42</v>
      </c>
      <c r="AJ33" s="9" t="s">
        <v>42</v>
      </c>
      <c r="AK33" s="9" t="s">
        <v>42</v>
      </c>
      <c r="AL33" s="9" t="s">
        <v>42</v>
      </c>
      <c r="AM33" s="9" t="s">
        <v>42</v>
      </c>
      <c r="AN33" s="9" t="s">
        <v>42</v>
      </c>
      <c r="AO33" s="9" t="s">
        <v>26</v>
      </c>
      <c r="AP33" s="9" t="s">
        <v>116</v>
      </c>
      <c r="AQ33" s="9" t="s">
        <v>9</v>
      </c>
      <c r="AR33" s="9" t="s">
        <v>42</v>
      </c>
      <c r="AS33" s="9" t="s">
        <v>42</v>
      </c>
      <c r="AT33" s="9" t="s">
        <v>117</v>
      </c>
      <c r="AU33" s="31"/>
    </row>
    <row r="34" spans="1:48" s="23" customFormat="1" ht="103.95" customHeight="1" x14ac:dyDescent="0.25">
      <c r="A34" s="8">
        <f t="shared" si="0"/>
        <v>30</v>
      </c>
      <c r="B34" s="32" t="s">
        <v>118</v>
      </c>
      <c r="C34" s="8">
        <v>26</v>
      </c>
      <c r="D34" s="8">
        <v>26</v>
      </c>
      <c r="E34" s="8">
        <v>0</v>
      </c>
      <c r="F34" s="32">
        <v>0</v>
      </c>
      <c r="G34" s="8">
        <v>0</v>
      </c>
      <c r="H34" s="8">
        <v>0</v>
      </c>
      <c r="I34" s="8">
        <v>1</v>
      </c>
      <c r="J34" s="8">
        <v>0</v>
      </c>
      <c r="K34" s="8">
        <v>0</v>
      </c>
      <c r="L34" s="8">
        <v>0</v>
      </c>
      <c r="M34" s="8">
        <v>26</v>
      </c>
      <c r="N34" s="8">
        <v>16.5</v>
      </c>
      <c r="O34" s="9" t="s">
        <v>108</v>
      </c>
      <c r="P34" s="9" t="s">
        <v>108</v>
      </c>
      <c r="Q34" s="9" t="s">
        <v>108</v>
      </c>
      <c r="R34" s="9" t="s">
        <v>108</v>
      </c>
      <c r="S34" s="9" t="s">
        <v>9</v>
      </c>
      <c r="T34" s="9" t="s">
        <v>108</v>
      </c>
      <c r="U34" s="9" t="s">
        <v>9</v>
      </c>
      <c r="V34" s="9" t="s">
        <v>9</v>
      </c>
      <c r="W34" s="9" t="s">
        <v>108</v>
      </c>
      <c r="X34" s="9" t="s">
        <v>108</v>
      </c>
      <c r="Y34" s="9" t="s">
        <v>108</v>
      </c>
      <c r="Z34" s="9" t="s">
        <v>108</v>
      </c>
      <c r="AA34" s="9" t="s">
        <v>108</v>
      </c>
      <c r="AB34" s="9" t="s">
        <v>108</v>
      </c>
      <c r="AC34" s="9" t="s">
        <v>9</v>
      </c>
      <c r="AD34" s="9" t="s">
        <v>108</v>
      </c>
      <c r="AE34" s="9" t="s">
        <v>108</v>
      </c>
      <c r="AF34" s="9" t="s">
        <v>108</v>
      </c>
      <c r="AG34" s="9" t="s">
        <v>108</v>
      </c>
      <c r="AH34" s="9" t="s">
        <v>108</v>
      </c>
      <c r="AI34" s="9" t="s">
        <v>108</v>
      </c>
      <c r="AJ34" s="9" t="s">
        <v>108</v>
      </c>
      <c r="AK34" s="9" t="s">
        <v>108</v>
      </c>
      <c r="AL34" s="9" t="s">
        <v>108</v>
      </c>
      <c r="AM34" s="9" t="s">
        <v>108</v>
      </c>
      <c r="AN34" s="9" t="s">
        <v>108</v>
      </c>
      <c r="AO34" s="9" t="s">
        <v>108</v>
      </c>
      <c r="AP34" s="9" t="s">
        <v>108</v>
      </c>
      <c r="AQ34" s="9" t="s">
        <v>9</v>
      </c>
      <c r="AR34" s="9" t="s">
        <v>108</v>
      </c>
      <c r="AS34" s="9" t="s">
        <v>108</v>
      </c>
      <c r="AT34" s="8" t="s">
        <v>84</v>
      </c>
      <c r="AU34" s="31"/>
    </row>
    <row r="35" spans="1:48" s="23" customFormat="1" ht="103.95" customHeight="1" x14ac:dyDescent="0.25">
      <c r="A35" s="8">
        <f t="shared" si="0"/>
        <v>31</v>
      </c>
      <c r="B35" s="32" t="s">
        <v>119</v>
      </c>
      <c r="C35" s="8">
        <v>26</v>
      </c>
      <c r="D35" s="8">
        <v>26</v>
      </c>
      <c r="E35" s="8">
        <v>0</v>
      </c>
      <c r="F35" s="32">
        <v>0</v>
      </c>
      <c r="G35" s="8">
        <v>0</v>
      </c>
      <c r="H35" s="8">
        <v>0</v>
      </c>
      <c r="I35" s="8">
        <v>1</v>
      </c>
      <c r="J35" s="8">
        <v>0</v>
      </c>
      <c r="K35" s="8">
        <v>0</v>
      </c>
      <c r="L35" s="8">
        <v>0</v>
      </c>
      <c r="M35" s="8">
        <v>26</v>
      </c>
      <c r="N35" s="8">
        <v>13</v>
      </c>
      <c r="O35" s="9" t="s">
        <v>9</v>
      </c>
      <c r="P35" s="9" t="s">
        <v>108</v>
      </c>
      <c r="Q35" s="9" t="s">
        <v>108</v>
      </c>
      <c r="R35" s="9" t="s">
        <v>108</v>
      </c>
      <c r="S35" s="9" t="s">
        <v>108</v>
      </c>
      <c r="T35" s="9" t="s">
        <v>108</v>
      </c>
      <c r="U35" s="9" t="s">
        <v>108</v>
      </c>
      <c r="V35" s="9" t="s">
        <v>9</v>
      </c>
      <c r="W35" s="9" t="s">
        <v>108</v>
      </c>
      <c r="X35" s="9" t="s">
        <v>108</v>
      </c>
      <c r="Y35" s="9" t="s">
        <v>108</v>
      </c>
      <c r="Z35" s="9" t="s">
        <v>108</v>
      </c>
      <c r="AA35" s="9" t="s">
        <v>108</v>
      </c>
      <c r="AB35" s="9" t="s">
        <v>9</v>
      </c>
      <c r="AC35" s="9" t="s">
        <v>9</v>
      </c>
      <c r="AD35" s="9" t="s">
        <v>108</v>
      </c>
      <c r="AE35" s="9" t="s">
        <v>108</v>
      </c>
      <c r="AF35" s="9" t="s">
        <v>108</v>
      </c>
      <c r="AG35" s="9" t="s">
        <v>108</v>
      </c>
      <c r="AH35" s="9" t="s">
        <v>108</v>
      </c>
      <c r="AI35" s="9" t="s">
        <v>108</v>
      </c>
      <c r="AJ35" s="9" t="s">
        <v>108</v>
      </c>
      <c r="AK35" s="9" t="s">
        <v>108</v>
      </c>
      <c r="AL35" s="9" t="s">
        <v>108</v>
      </c>
      <c r="AM35" s="9" t="s">
        <v>108</v>
      </c>
      <c r="AN35" s="9" t="s">
        <v>108</v>
      </c>
      <c r="AO35" s="9" t="s">
        <v>108</v>
      </c>
      <c r="AP35" s="9" t="s">
        <v>108</v>
      </c>
      <c r="AQ35" s="9" t="s">
        <v>9</v>
      </c>
      <c r="AR35" s="9" t="s">
        <v>108</v>
      </c>
      <c r="AS35" s="9" t="s">
        <v>108</v>
      </c>
      <c r="AT35" s="8" t="s">
        <v>120</v>
      </c>
      <c r="AU35" s="31"/>
    </row>
    <row r="36" spans="1:48" s="23" customFormat="1" ht="103.95" customHeight="1" x14ac:dyDescent="0.25">
      <c r="A36" s="8">
        <f t="shared" si="0"/>
        <v>32</v>
      </c>
      <c r="B36" s="32" t="s">
        <v>121</v>
      </c>
      <c r="C36" s="8">
        <v>21</v>
      </c>
      <c r="D36" s="8">
        <v>0</v>
      </c>
      <c r="E36" s="8">
        <v>0</v>
      </c>
      <c r="F36" s="8">
        <v>2</v>
      </c>
      <c r="G36" s="8">
        <v>0</v>
      </c>
      <c r="H36" s="8">
        <v>0</v>
      </c>
      <c r="I36" s="8">
        <v>2</v>
      </c>
      <c r="J36" s="8">
        <v>0</v>
      </c>
      <c r="K36" s="8">
        <v>0</v>
      </c>
      <c r="L36" s="8">
        <v>0</v>
      </c>
      <c r="M36" s="8">
        <v>0</v>
      </c>
      <c r="N36" s="8">
        <v>0.5</v>
      </c>
      <c r="O36" s="9" t="s">
        <v>25</v>
      </c>
      <c r="P36" s="9" t="s">
        <v>49</v>
      </c>
      <c r="Q36" s="9" t="s">
        <v>26</v>
      </c>
      <c r="R36" s="9" t="s">
        <v>26</v>
      </c>
      <c r="S36" s="9" t="s">
        <v>26</v>
      </c>
      <c r="T36" s="9" t="s">
        <v>26</v>
      </c>
      <c r="U36" s="9" t="s">
        <v>25</v>
      </c>
      <c r="V36" s="9" t="s">
        <v>25</v>
      </c>
      <c r="W36" s="9" t="s">
        <v>26</v>
      </c>
      <c r="X36" s="9" t="s">
        <v>26</v>
      </c>
      <c r="Y36" s="9" t="s">
        <v>26</v>
      </c>
      <c r="Z36" s="9" t="s">
        <v>9</v>
      </c>
      <c r="AA36" s="9" t="s">
        <v>9</v>
      </c>
      <c r="AB36" s="9" t="s">
        <v>25</v>
      </c>
      <c r="AC36" s="9" t="s">
        <v>25</v>
      </c>
      <c r="AD36" s="9" t="s">
        <v>26</v>
      </c>
      <c r="AE36" s="9" t="s">
        <v>26</v>
      </c>
      <c r="AF36" s="9" t="s">
        <v>26</v>
      </c>
      <c r="AG36" s="9" t="s">
        <v>26</v>
      </c>
      <c r="AH36" s="9" t="s">
        <v>26</v>
      </c>
      <c r="AI36" s="9" t="s">
        <v>49</v>
      </c>
      <c r="AJ36" s="9" t="s">
        <v>25</v>
      </c>
      <c r="AK36" s="9" t="s">
        <v>26</v>
      </c>
      <c r="AL36" s="9" t="s">
        <v>26</v>
      </c>
      <c r="AM36" s="9" t="s">
        <v>26</v>
      </c>
      <c r="AN36" s="9" t="s">
        <v>26</v>
      </c>
      <c r="AO36" s="9" t="s">
        <v>26</v>
      </c>
      <c r="AP36" s="9" t="s">
        <v>38</v>
      </c>
      <c r="AQ36" s="9" t="s">
        <v>25</v>
      </c>
      <c r="AR36" s="9" t="s">
        <v>26</v>
      </c>
      <c r="AS36" s="9" t="s">
        <v>26</v>
      </c>
      <c r="AT36" s="8" t="s">
        <v>122</v>
      </c>
      <c r="AU36" s="31"/>
      <c r="AV36" s="31"/>
    </row>
    <row r="37" spans="1:48" s="25" customFormat="1" ht="103.95" customHeight="1" x14ac:dyDescent="0.25">
      <c r="A37" s="8">
        <f t="shared" si="0"/>
        <v>33</v>
      </c>
      <c r="B37" s="32" t="s">
        <v>123</v>
      </c>
      <c r="C37" s="8">
        <v>27</v>
      </c>
      <c r="D37" s="8">
        <v>27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27</v>
      </c>
      <c r="N37" s="8">
        <v>15</v>
      </c>
      <c r="O37" s="9" t="s">
        <v>124</v>
      </c>
      <c r="P37" s="9" t="s">
        <v>124</v>
      </c>
      <c r="Q37" s="9" t="s">
        <v>9</v>
      </c>
      <c r="R37" s="9" t="s">
        <v>9</v>
      </c>
      <c r="S37" s="9" t="s">
        <v>99</v>
      </c>
      <c r="T37" s="9" t="s">
        <v>99</v>
      </c>
      <c r="U37" s="9" t="s">
        <v>99</v>
      </c>
      <c r="V37" s="9" t="s">
        <v>99</v>
      </c>
      <c r="W37" s="9" t="s">
        <v>99</v>
      </c>
      <c r="X37" s="9" t="s">
        <v>99</v>
      </c>
      <c r="Y37" s="9" t="s">
        <v>99</v>
      </c>
      <c r="Z37" s="9" t="s">
        <v>99</v>
      </c>
      <c r="AA37" s="9" t="s">
        <v>99</v>
      </c>
      <c r="AB37" s="9" t="s">
        <v>99</v>
      </c>
      <c r="AC37" s="9" t="s">
        <v>9</v>
      </c>
      <c r="AD37" s="9" t="s">
        <v>99</v>
      </c>
      <c r="AE37" s="9" t="s">
        <v>99</v>
      </c>
      <c r="AF37" s="9" t="s">
        <v>99</v>
      </c>
      <c r="AG37" s="9" t="s">
        <v>99</v>
      </c>
      <c r="AH37" s="9" t="s">
        <v>99</v>
      </c>
      <c r="AI37" s="9" t="s">
        <v>99</v>
      </c>
      <c r="AJ37" s="9" t="s">
        <v>9</v>
      </c>
      <c r="AK37" s="9" t="s">
        <v>99</v>
      </c>
      <c r="AL37" s="9" t="s">
        <v>99</v>
      </c>
      <c r="AM37" s="9" t="s">
        <v>99</v>
      </c>
      <c r="AN37" s="9" t="s">
        <v>99</v>
      </c>
      <c r="AO37" s="9" t="s">
        <v>99</v>
      </c>
      <c r="AP37" s="9" t="s">
        <v>99</v>
      </c>
      <c r="AQ37" s="9" t="s">
        <v>99</v>
      </c>
      <c r="AR37" s="9" t="s">
        <v>99</v>
      </c>
      <c r="AS37" s="9" t="s">
        <v>99</v>
      </c>
      <c r="AT37" s="8" t="s">
        <v>125</v>
      </c>
      <c r="AU37" s="31"/>
    </row>
    <row r="38" spans="1:48" s="25" customFormat="1" ht="103.95" customHeight="1" x14ac:dyDescent="0.25">
      <c r="A38" s="8">
        <f t="shared" si="0"/>
        <v>34</v>
      </c>
      <c r="B38" s="32" t="s">
        <v>126</v>
      </c>
      <c r="C38" s="8">
        <v>31</v>
      </c>
      <c r="D38" s="8">
        <v>31</v>
      </c>
      <c r="E38" s="8">
        <v>0</v>
      </c>
      <c r="F38" s="8">
        <v>4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31</v>
      </c>
      <c r="N38" s="8">
        <v>12</v>
      </c>
      <c r="O38" s="9" t="s">
        <v>66</v>
      </c>
      <c r="P38" s="9" t="s">
        <v>66</v>
      </c>
      <c r="Q38" s="9" t="s">
        <v>66</v>
      </c>
      <c r="R38" s="9" t="s">
        <v>66</v>
      </c>
      <c r="S38" s="9" t="s">
        <v>66</v>
      </c>
      <c r="T38" s="9" t="s">
        <v>66</v>
      </c>
      <c r="U38" s="9" t="s">
        <v>66</v>
      </c>
      <c r="V38" s="9" t="s">
        <v>66</v>
      </c>
      <c r="W38" s="9" t="s">
        <v>66</v>
      </c>
      <c r="X38" s="9" t="s">
        <v>66</v>
      </c>
      <c r="Y38" s="9" t="s">
        <v>66</v>
      </c>
      <c r="Z38" s="9" t="s">
        <v>66</v>
      </c>
      <c r="AA38" s="9" t="s">
        <v>66</v>
      </c>
      <c r="AB38" s="9" t="s">
        <v>66</v>
      </c>
      <c r="AC38" s="9" t="s">
        <v>66</v>
      </c>
      <c r="AD38" s="9" t="s">
        <v>66</v>
      </c>
      <c r="AE38" s="9" t="s">
        <v>66</v>
      </c>
      <c r="AF38" s="9" t="s">
        <v>66</v>
      </c>
      <c r="AG38" s="9" t="s">
        <v>66</v>
      </c>
      <c r="AH38" s="9" t="s">
        <v>66</v>
      </c>
      <c r="AI38" s="9" t="s">
        <v>66</v>
      </c>
      <c r="AJ38" s="9" t="s">
        <v>66</v>
      </c>
      <c r="AK38" s="9" t="s">
        <v>66</v>
      </c>
      <c r="AL38" s="9" t="s">
        <v>66</v>
      </c>
      <c r="AM38" s="9" t="s">
        <v>66</v>
      </c>
      <c r="AN38" s="9" t="s">
        <v>66</v>
      </c>
      <c r="AO38" s="9" t="s">
        <v>66</v>
      </c>
      <c r="AP38" s="9" t="s">
        <v>66</v>
      </c>
      <c r="AQ38" s="9" t="s">
        <v>66</v>
      </c>
      <c r="AR38" s="9" t="s">
        <v>66</v>
      </c>
      <c r="AS38" s="9" t="s">
        <v>66</v>
      </c>
      <c r="AT38" s="9" t="s">
        <v>127</v>
      </c>
      <c r="AU38" s="31"/>
    </row>
    <row r="39" spans="1:48" s="25" customFormat="1" ht="103.95" customHeight="1" x14ac:dyDescent="0.25">
      <c r="A39" s="8">
        <f t="shared" si="0"/>
        <v>35</v>
      </c>
      <c r="B39" s="32" t="s">
        <v>128</v>
      </c>
      <c r="C39" s="8">
        <v>27</v>
      </c>
      <c r="D39" s="8">
        <v>0</v>
      </c>
      <c r="E39" s="8">
        <v>27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27</v>
      </c>
      <c r="N39" s="8">
        <v>0</v>
      </c>
      <c r="O39" s="9" t="s">
        <v>86</v>
      </c>
      <c r="P39" s="9" t="s">
        <v>86</v>
      </c>
      <c r="Q39" s="9" t="s">
        <v>86</v>
      </c>
      <c r="R39" s="9" t="s">
        <v>86</v>
      </c>
      <c r="S39" s="9" t="s">
        <v>86</v>
      </c>
      <c r="T39" s="9" t="s">
        <v>86</v>
      </c>
      <c r="U39" s="9" t="s">
        <v>86</v>
      </c>
      <c r="V39" s="9" t="s">
        <v>86</v>
      </c>
      <c r="W39" s="9" t="s">
        <v>86</v>
      </c>
      <c r="X39" s="9" t="s">
        <v>86</v>
      </c>
      <c r="Y39" s="9" t="s">
        <v>86</v>
      </c>
      <c r="Z39" s="9" t="s">
        <v>86</v>
      </c>
      <c r="AA39" s="9" t="s">
        <v>86</v>
      </c>
      <c r="AB39" s="9" t="s">
        <v>9</v>
      </c>
      <c r="AC39" s="9" t="s">
        <v>9</v>
      </c>
      <c r="AD39" s="9" t="s">
        <v>9</v>
      </c>
      <c r="AE39" s="9" t="s">
        <v>9</v>
      </c>
      <c r="AF39" s="9" t="s">
        <v>86</v>
      </c>
      <c r="AG39" s="9" t="s">
        <v>86</v>
      </c>
      <c r="AH39" s="9" t="s">
        <v>86</v>
      </c>
      <c r="AI39" s="9" t="s">
        <v>86</v>
      </c>
      <c r="AJ39" s="9" t="s">
        <v>86</v>
      </c>
      <c r="AK39" s="9" t="s">
        <v>86</v>
      </c>
      <c r="AL39" s="9" t="s">
        <v>86</v>
      </c>
      <c r="AM39" s="9" t="s">
        <v>86</v>
      </c>
      <c r="AN39" s="9" t="s">
        <v>86</v>
      </c>
      <c r="AO39" s="9" t="s">
        <v>86</v>
      </c>
      <c r="AP39" s="9" t="s">
        <v>86</v>
      </c>
      <c r="AQ39" s="9" t="s">
        <v>86</v>
      </c>
      <c r="AR39" s="9" t="s">
        <v>86</v>
      </c>
      <c r="AS39" s="9" t="s">
        <v>86</v>
      </c>
      <c r="AT39" s="8" t="s">
        <v>129</v>
      </c>
      <c r="AU39" s="31"/>
    </row>
    <row r="40" spans="1:48" s="23" customFormat="1" ht="103.95" customHeight="1" x14ac:dyDescent="0.25">
      <c r="A40" s="8">
        <f t="shared" si="0"/>
        <v>36</v>
      </c>
      <c r="B40" s="32" t="s">
        <v>130</v>
      </c>
      <c r="C40" s="8">
        <v>26</v>
      </c>
      <c r="D40" s="8">
        <v>26</v>
      </c>
      <c r="E40" s="8">
        <v>0</v>
      </c>
      <c r="F40" s="32">
        <v>0</v>
      </c>
      <c r="G40" s="8">
        <v>0</v>
      </c>
      <c r="H40" s="8">
        <v>0</v>
      </c>
      <c r="I40" s="8">
        <v>1</v>
      </c>
      <c r="J40" s="8">
        <v>0</v>
      </c>
      <c r="K40" s="8">
        <v>0</v>
      </c>
      <c r="L40" s="8">
        <v>0</v>
      </c>
      <c r="M40" s="8">
        <v>26</v>
      </c>
      <c r="N40" s="8">
        <v>5</v>
      </c>
      <c r="O40" s="9" t="s">
        <v>98</v>
      </c>
      <c r="P40" s="9" t="s">
        <v>98</v>
      </c>
      <c r="Q40" s="9" t="s">
        <v>98</v>
      </c>
      <c r="R40" s="9" t="s">
        <v>98</v>
      </c>
      <c r="S40" s="9" t="s">
        <v>98</v>
      </c>
      <c r="T40" s="9" t="s">
        <v>98</v>
      </c>
      <c r="U40" s="9" t="s">
        <v>98</v>
      </c>
      <c r="V40" s="9" t="s">
        <v>98</v>
      </c>
      <c r="W40" s="9" t="s">
        <v>98</v>
      </c>
      <c r="X40" s="9" t="s">
        <v>98</v>
      </c>
      <c r="Y40" s="9" t="s">
        <v>9</v>
      </c>
      <c r="Z40" s="9" t="s">
        <v>98</v>
      </c>
      <c r="AA40" s="9" t="s">
        <v>98</v>
      </c>
      <c r="AB40" s="9" t="s">
        <v>9</v>
      </c>
      <c r="AC40" s="9" t="s">
        <v>9</v>
      </c>
      <c r="AD40" s="9" t="s">
        <v>98</v>
      </c>
      <c r="AE40" s="9" t="s">
        <v>98</v>
      </c>
      <c r="AF40" s="9" t="s">
        <v>98</v>
      </c>
      <c r="AG40" s="9" t="s">
        <v>98</v>
      </c>
      <c r="AH40" s="9" t="s">
        <v>98</v>
      </c>
      <c r="AI40" s="9" t="s">
        <v>98</v>
      </c>
      <c r="AJ40" s="9" t="s">
        <v>9</v>
      </c>
      <c r="AK40" s="9" t="s">
        <v>9</v>
      </c>
      <c r="AL40" s="9" t="s">
        <v>98</v>
      </c>
      <c r="AM40" s="9" t="s">
        <v>98</v>
      </c>
      <c r="AN40" s="9" t="s">
        <v>98</v>
      </c>
      <c r="AO40" s="9" t="s">
        <v>98</v>
      </c>
      <c r="AP40" s="9" t="s">
        <v>98</v>
      </c>
      <c r="AQ40" s="9" t="s">
        <v>98</v>
      </c>
      <c r="AR40" s="9" t="s">
        <v>98</v>
      </c>
      <c r="AS40" s="9" t="s">
        <v>98</v>
      </c>
      <c r="AT40" s="8" t="s">
        <v>131</v>
      </c>
      <c r="AU40" s="31"/>
    </row>
    <row r="41" spans="1:48" s="23" customFormat="1" ht="103.95" customHeight="1" x14ac:dyDescent="0.25">
      <c r="A41" s="8">
        <f t="shared" si="0"/>
        <v>37</v>
      </c>
      <c r="B41" s="32" t="s">
        <v>132</v>
      </c>
      <c r="C41" s="8">
        <v>30</v>
      </c>
      <c r="D41" s="8">
        <v>30</v>
      </c>
      <c r="E41" s="8">
        <v>0</v>
      </c>
      <c r="F41" s="32">
        <v>4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26</v>
      </c>
      <c r="N41" s="8">
        <v>4</v>
      </c>
      <c r="O41" s="9" t="s">
        <v>65</v>
      </c>
      <c r="P41" s="9" t="s">
        <v>65</v>
      </c>
      <c r="Q41" s="9" t="s">
        <v>65</v>
      </c>
      <c r="R41" s="9" t="s">
        <v>65</v>
      </c>
      <c r="S41" s="9" t="s">
        <v>65</v>
      </c>
      <c r="T41" s="9" t="s">
        <v>65</v>
      </c>
      <c r="U41" s="9" t="s">
        <v>65</v>
      </c>
      <c r="V41" s="9" t="s">
        <v>65</v>
      </c>
      <c r="W41" s="9" t="s">
        <v>65</v>
      </c>
      <c r="X41" s="9" t="s">
        <v>65</v>
      </c>
      <c r="Y41" s="9" t="s">
        <v>65</v>
      </c>
      <c r="Z41" s="9" t="s">
        <v>65</v>
      </c>
      <c r="AA41" s="9" t="s">
        <v>66</v>
      </c>
      <c r="AB41" s="9" t="s">
        <v>66</v>
      </c>
      <c r="AC41" s="9" t="s">
        <v>66</v>
      </c>
      <c r="AD41" s="9" t="s">
        <v>66</v>
      </c>
      <c r="AE41" s="9" t="s">
        <v>66</v>
      </c>
      <c r="AF41" s="9" t="s">
        <v>66</v>
      </c>
      <c r="AG41" s="9" t="s">
        <v>66</v>
      </c>
      <c r="AH41" s="9" t="s">
        <v>66</v>
      </c>
      <c r="AI41" s="9" t="s">
        <v>66</v>
      </c>
      <c r="AJ41" s="9" t="s">
        <v>66</v>
      </c>
      <c r="AK41" s="9" t="s">
        <v>66</v>
      </c>
      <c r="AL41" s="9" t="s">
        <v>26</v>
      </c>
      <c r="AM41" s="9">
        <v>428</v>
      </c>
      <c r="AN41" s="9" t="s">
        <v>32</v>
      </c>
      <c r="AO41" s="9" t="s">
        <v>26</v>
      </c>
      <c r="AP41" s="9" t="s">
        <v>38</v>
      </c>
      <c r="AQ41" s="9" t="s">
        <v>25</v>
      </c>
      <c r="AR41" s="9">
        <v>428</v>
      </c>
      <c r="AS41" s="9">
        <v>428</v>
      </c>
      <c r="AT41" s="8" t="s">
        <v>133</v>
      </c>
      <c r="AU41" s="31"/>
    </row>
    <row r="42" spans="1:48" s="25" customFormat="1" ht="70.2" customHeight="1" x14ac:dyDescent="0.25">
      <c r="A42" s="49" t="s">
        <v>134</v>
      </c>
      <c r="B42" s="49"/>
      <c r="C42" s="40">
        <f>SUM(C5:C41)</f>
        <v>956</v>
      </c>
      <c r="D42" s="40">
        <f>SUM(D5:D41)</f>
        <v>553.5</v>
      </c>
      <c r="E42" s="40">
        <f>SUM(E5:E41)</f>
        <v>97.5</v>
      </c>
      <c r="F42" s="40">
        <f>SUM(F5:F41)</f>
        <v>54.5</v>
      </c>
      <c r="G42" s="40">
        <f>SUM(G5:G41)</f>
        <v>0</v>
      </c>
      <c r="H42" s="40">
        <f>SUM(H5:H41)</f>
        <v>0</v>
      </c>
      <c r="I42" s="40">
        <f>SUM(I5:I41)</f>
        <v>18.5</v>
      </c>
      <c r="J42" s="40">
        <f>SUM(J5:J41)</f>
        <v>0</v>
      </c>
      <c r="K42" s="40">
        <f>SUM(K5:K41)</f>
        <v>0</v>
      </c>
      <c r="L42" s="40">
        <f>SUM(L5:L41)</f>
        <v>0</v>
      </c>
      <c r="M42" s="40">
        <f>SUM(M5:M41)</f>
        <v>600.5</v>
      </c>
      <c r="N42" s="40">
        <f>SUM(N5:N41)</f>
        <v>360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31"/>
    </row>
    <row r="43" spans="1:48" s="25" customFormat="1" ht="44.1" customHeight="1" x14ac:dyDescent="0.25">
      <c r="A43" s="51" t="s">
        <v>135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31"/>
    </row>
    <row r="44" spans="1:48" s="25" customFormat="1" ht="44.1" customHeight="1" x14ac:dyDescent="0.25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31"/>
    </row>
    <row r="45" spans="1:48" ht="44.1" customHeight="1" x14ac:dyDescent="0.15">
      <c r="A45" s="41"/>
      <c r="B45" s="41"/>
      <c r="C45" s="41"/>
      <c r="D45" s="42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1"/>
      <c r="AU45" s="31"/>
    </row>
    <row r="53" spans="1:45" s="25" customFormat="1" ht="44.1" customHeight="1" x14ac:dyDescent="0.15">
      <c r="A53" s="26"/>
      <c r="C53" s="27"/>
      <c r="D53" s="28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</row>
    <row r="54" spans="1:45" s="25" customFormat="1" ht="44.1" customHeight="1" x14ac:dyDescent="0.15">
      <c r="A54" s="26"/>
      <c r="C54" s="27"/>
      <c r="D54" s="28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</row>
    <row r="55" spans="1:45" s="25" customFormat="1" ht="44.1" customHeight="1" x14ac:dyDescent="0.15">
      <c r="A55" s="26"/>
      <c r="C55" s="27"/>
      <c r="D55" s="28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</row>
    <row r="56" spans="1:45" s="25" customFormat="1" ht="44.1" customHeight="1" x14ac:dyDescent="0.15">
      <c r="A56" s="26"/>
      <c r="C56" s="27"/>
      <c r="D56" s="28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</row>
    <row r="57" spans="1:45" s="25" customFormat="1" ht="44.1" customHeight="1" x14ac:dyDescent="0.15">
      <c r="A57" s="26"/>
      <c r="C57" s="27"/>
      <c r="D57" s="28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</row>
    <row r="58" spans="1:45" s="25" customFormat="1" ht="44.1" customHeight="1" x14ac:dyDescent="0.15">
      <c r="A58" s="26"/>
      <c r="C58" s="27"/>
      <c r="D58" s="28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</row>
    <row r="59" spans="1:45" s="25" customFormat="1" ht="44.1" customHeight="1" x14ac:dyDescent="0.15">
      <c r="A59" s="26"/>
      <c r="C59" s="27"/>
      <c r="D59" s="28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</row>
  </sheetData>
  <mergeCells count="19">
    <mergeCell ref="N2:N4"/>
    <mergeCell ref="AT2:AT4"/>
    <mergeCell ref="A43:AT44"/>
    <mergeCell ref="A1:AT1"/>
    <mergeCell ref="O2:AS2"/>
    <mergeCell ref="A42:B42"/>
    <mergeCell ref="A2:A4"/>
    <mergeCell ref="B2:B3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</mergeCells>
  <phoneticPr fontId="18" type="noConversion"/>
  <pageMargins left="0.98402777777777795" right="0.196527777777778" top="0.31458333333333299" bottom="0.156944444444444" header="0.39305555555555599" footer="0.27500000000000002"/>
  <pageSetup paperSize="9" scale="14" orientation="landscape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9"/>
  <sheetViews>
    <sheetView zoomScale="85" zoomScaleNormal="85" workbookViewId="0">
      <selection activeCell="G14" sqref="G14"/>
    </sheetView>
  </sheetViews>
  <sheetFormatPr defaultColWidth="9" defaultRowHeight="27.9" customHeight="1" x14ac:dyDescent="0.25"/>
  <cols>
    <col min="1" max="1" width="7.19921875" customWidth="1"/>
    <col min="2" max="2" width="13.3984375" customWidth="1"/>
    <col min="3" max="3" width="68.796875" style="12" customWidth="1"/>
    <col min="4" max="4" width="9" style="13"/>
  </cols>
  <sheetData>
    <row r="1" spans="1:4" ht="36" customHeight="1" x14ac:dyDescent="0.25">
      <c r="A1" s="52" t="s">
        <v>136</v>
      </c>
      <c r="B1" s="52"/>
      <c r="C1" s="52"/>
      <c r="D1" s="52"/>
    </row>
    <row r="2" spans="1:4" ht="23.1" customHeight="1" x14ac:dyDescent="0.25">
      <c r="A2" s="14" t="s">
        <v>1</v>
      </c>
      <c r="B2" s="14" t="s">
        <v>137</v>
      </c>
      <c r="C2" s="14" t="s">
        <v>138</v>
      </c>
      <c r="D2" s="14" t="s">
        <v>139</v>
      </c>
    </row>
    <row r="3" spans="1:4" ht="36" customHeight="1" x14ac:dyDescent="0.25">
      <c r="A3" s="14">
        <f t="shared" ref="A3:A13" si="0">ROW()-2</f>
        <v>1</v>
      </c>
      <c r="B3" s="15" t="s">
        <v>140</v>
      </c>
      <c r="C3" s="14" t="s">
        <v>141</v>
      </c>
      <c r="D3" s="14">
        <v>0</v>
      </c>
    </row>
    <row r="4" spans="1:4" ht="31.05" customHeight="1" x14ac:dyDescent="0.25">
      <c r="A4" s="14">
        <f t="shared" si="0"/>
        <v>2</v>
      </c>
      <c r="B4" s="15" t="s">
        <v>37</v>
      </c>
      <c r="C4" s="14" t="s">
        <v>142</v>
      </c>
      <c r="D4" s="14">
        <v>0</v>
      </c>
    </row>
    <row r="5" spans="1:4" ht="28.95" customHeight="1" x14ac:dyDescent="0.25">
      <c r="A5" s="14">
        <f t="shared" si="0"/>
        <v>3</v>
      </c>
      <c r="B5" s="15" t="s">
        <v>45</v>
      </c>
      <c r="C5" s="14" t="s">
        <v>143</v>
      </c>
      <c r="D5" s="14">
        <v>0</v>
      </c>
    </row>
    <row r="6" spans="1:4" ht="27.9" customHeight="1" x14ac:dyDescent="0.25">
      <c r="A6" s="14">
        <f t="shared" si="0"/>
        <v>4</v>
      </c>
      <c r="B6" s="15" t="s">
        <v>48</v>
      </c>
      <c r="C6" s="14" t="s">
        <v>144</v>
      </c>
      <c r="D6" s="14">
        <v>2.5</v>
      </c>
    </row>
    <row r="7" spans="1:4" ht="25.95" customHeight="1" x14ac:dyDescent="0.25">
      <c r="A7" s="14">
        <f t="shared" si="0"/>
        <v>5</v>
      </c>
      <c r="B7" s="16" t="s">
        <v>51</v>
      </c>
      <c r="C7" s="14" t="s">
        <v>145</v>
      </c>
      <c r="D7" s="14">
        <v>0</v>
      </c>
    </row>
    <row r="8" spans="1:4" ht="25.95" customHeight="1" x14ac:dyDescent="0.25">
      <c r="A8" s="14">
        <f t="shared" si="0"/>
        <v>6</v>
      </c>
      <c r="B8" s="16" t="s">
        <v>53</v>
      </c>
      <c r="C8" s="14" t="s">
        <v>146</v>
      </c>
      <c r="D8" s="14">
        <v>6</v>
      </c>
    </row>
    <row r="9" spans="1:4" ht="27.9" customHeight="1" x14ac:dyDescent="0.25">
      <c r="A9" s="14">
        <f t="shared" si="0"/>
        <v>7</v>
      </c>
      <c r="B9" s="16" t="s">
        <v>55</v>
      </c>
      <c r="C9" s="14" t="s">
        <v>147</v>
      </c>
      <c r="D9" s="14">
        <v>16</v>
      </c>
    </row>
    <row r="10" spans="1:4" ht="27.9" customHeight="1" x14ac:dyDescent="0.25">
      <c r="A10" s="14">
        <f t="shared" si="0"/>
        <v>8</v>
      </c>
      <c r="B10" s="17" t="s">
        <v>58</v>
      </c>
      <c r="C10" s="14" t="s">
        <v>148</v>
      </c>
      <c r="D10" s="14">
        <v>5.5</v>
      </c>
    </row>
    <row r="11" spans="1:4" ht="27.9" customHeight="1" x14ac:dyDescent="0.25">
      <c r="A11" s="14">
        <f t="shared" si="0"/>
        <v>9</v>
      </c>
      <c r="B11" s="16" t="s">
        <v>60</v>
      </c>
      <c r="C11" s="14" t="s">
        <v>149</v>
      </c>
      <c r="D11" s="14">
        <v>0</v>
      </c>
    </row>
    <row r="12" spans="1:4" ht="27.9" customHeight="1" x14ac:dyDescent="0.25">
      <c r="A12" s="14">
        <f t="shared" si="0"/>
        <v>10</v>
      </c>
      <c r="B12" s="15" t="s">
        <v>62</v>
      </c>
      <c r="C12" s="14" t="s">
        <v>146</v>
      </c>
      <c r="D12" s="14">
        <v>1</v>
      </c>
    </row>
    <row r="13" spans="1:4" ht="33" customHeight="1" x14ac:dyDescent="0.25">
      <c r="A13" s="14">
        <f t="shared" si="0"/>
        <v>11</v>
      </c>
      <c r="B13" s="15" t="s">
        <v>64</v>
      </c>
      <c r="C13" s="14" t="s">
        <v>150</v>
      </c>
      <c r="D13" s="14">
        <v>18.5</v>
      </c>
    </row>
    <row r="14" spans="1:4" ht="55.05" customHeight="1" x14ac:dyDescent="0.25">
      <c r="A14" s="14">
        <f t="shared" ref="A14:A19" si="1">ROW()-2</f>
        <v>12</v>
      </c>
      <c r="B14" s="15" t="s">
        <v>69</v>
      </c>
      <c r="C14" s="14" t="s">
        <v>151</v>
      </c>
      <c r="D14" s="14">
        <v>21.5</v>
      </c>
    </row>
    <row r="15" spans="1:4" ht="33" customHeight="1" x14ac:dyDescent="0.25">
      <c r="A15" s="14">
        <f t="shared" si="1"/>
        <v>13</v>
      </c>
      <c r="B15" s="16" t="s">
        <v>73</v>
      </c>
      <c r="C15" s="14" t="s">
        <v>152</v>
      </c>
      <c r="D15" s="14">
        <v>29</v>
      </c>
    </row>
    <row r="16" spans="1:4" ht="27.9" customHeight="1" x14ac:dyDescent="0.25">
      <c r="A16" s="14">
        <f t="shared" si="1"/>
        <v>14</v>
      </c>
      <c r="B16" s="16" t="s">
        <v>76</v>
      </c>
      <c r="C16" s="14" t="s">
        <v>153</v>
      </c>
      <c r="D16" s="14">
        <v>8</v>
      </c>
    </row>
    <row r="17" spans="1:4" ht="27.9" customHeight="1" x14ac:dyDescent="0.25">
      <c r="A17" s="14">
        <f t="shared" si="1"/>
        <v>15</v>
      </c>
      <c r="B17" s="16" t="s">
        <v>80</v>
      </c>
      <c r="C17" s="14" t="s">
        <v>154</v>
      </c>
      <c r="D17" s="14">
        <v>9</v>
      </c>
    </row>
    <row r="18" spans="1:4" ht="27.9" customHeight="1" x14ac:dyDescent="0.25">
      <c r="A18" s="14">
        <f t="shared" si="1"/>
        <v>16</v>
      </c>
      <c r="B18" s="16" t="s">
        <v>82</v>
      </c>
      <c r="C18" s="14" t="s">
        <v>155</v>
      </c>
      <c r="D18" s="14">
        <v>2</v>
      </c>
    </row>
    <row r="19" spans="1:4" ht="27.9" customHeight="1" x14ac:dyDescent="0.25">
      <c r="A19" s="14">
        <f t="shared" si="1"/>
        <v>17</v>
      </c>
      <c r="B19" s="16" t="s">
        <v>85</v>
      </c>
      <c r="C19" s="14" t="s">
        <v>156</v>
      </c>
      <c r="D19" s="14">
        <v>7</v>
      </c>
    </row>
    <row r="20" spans="1:4" ht="27.9" customHeight="1" x14ac:dyDescent="0.25">
      <c r="A20" s="14">
        <f>ROW()-2</f>
        <v>18</v>
      </c>
      <c r="B20" s="16" t="s">
        <v>88</v>
      </c>
      <c r="C20" s="14" t="s">
        <v>157</v>
      </c>
      <c r="D20" s="14">
        <v>1</v>
      </c>
    </row>
    <row r="21" spans="1:4" ht="27.9" customHeight="1" x14ac:dyDescent="0.25">
      <c r="A21" s="14">
        <f>ROW()-2</f>
        <v>19</v>
      </c>
      <c r="B21" s="16" t="s">
        <v>90</v>
      </c>
      <c r="C21" s="65" t="s">
        <v>192</v>
      </c>
      <c r="D21" s="14">
        <v>5.5</v>
      </c>
    </row>
    <row r="22" spans="1:4" ht="27.9" customHeight="1" x14ac:dyDescent="0.25">
      <c r="A22" s="14">
        <f>ROW()-2</f>
        <v>20</v>
      </c>
      <c r="B22" s="16" t="s">
        <v>92</v>
      </c>
      <c r="C22" s="14" t="s">
        <v>158</v>
      </c>
      <c r="D22" s="14">
        <v>0</v>
      </c>
    </row>
    <row r="23" spans="1:4" ht="27.9" customHeight="1" x14ac:dyDescent="0.25">
      <c r="A23" s="14">
        <f t="shared" ref="A23:A32" si="2">ROW()-2</f>
        <v>21</v>
      </c>
      <c r="B23" s="16" t="s">
        <v>94</v>
      </c>
      <c r="C23" s="65" t="s">
        <v>190</v>
      </c>
      <c r="D23" s="14">
        <v>20</v>
      </c>
    </row>
    <row r="24" spans="1:4" ht="27.9" customHeight="1" x14ac:dyDescent="0.25">
      <c r="A24" s="14">
        <f t="shared" si="2"/>
        <v>22</v>
      </c>
      <c r="B24" s="16" t="s">
        <v>96</v>
      </c>
      <c r="C24" s="18" t="s">
        <v>159</v>
      </c>
      <c r="D24" s="14">
        <v>21</v>
      </c>
    </row>
    <row r="25" spans="1:4" ht="37.950000000000003" customHeight="1" x14ac:dyDescent="0.25">
      <c r="A25" s="14">
        <f t="shared" si="2"/>
        <v>23</v>
      </c>
      <c r="B25" s="19" t="s">
        <v>101</v>
      </c>
      <c r="C25" s="18" t="s">
        <v>160</v>
      </c>
      <c r="D25" s="14">
        <v>20</v>
      </c>
    </row>
    <row r="26" spans="1:4" ht="27.9" customHeight="1" x14ac:dyDescent="0.25">
      <c r="A26" s="14">
        <f t="shared" si="2"/>
        <v>24</v>
      </c>
      <c r="B26" s="16" t="s">
        <v>103</v>
      </c>
      <c r="C26" s="14" t="s">
        <v>161</v>
      </c>
      <c r="D26" s="14">
        <v>22</v>
      </c>
    </row>
    <row r="27" spans="1:4" ht="27.9" customHeight="1" x14ac:dyDescent="0.25">
      <c r="A27" s="14">
        <f t="shared" si="2"/>
        <v>25</v>
      </c>
      <c r="B27" s="20" t="s">
        <v>105</v>
      </c>
      <c r="C27" s="18" t="s">
        <v>162</v>
      </c>
      <c r="D27" s="14">
        <v>17</v>
      </c>
    </row>
    <row r="28" spans="1:4" ht="27.9" customHeight="1" x14ac:dyDescent="0.25">
      <c r="A28" s="14">
        <f t="shared" si="2"/>
        <v>26</v>
      </c>
      <c r="B28" s="16" t="s">
        <v>107</v>
      </c>
      <c r="C28" s="14" t="s">
        <v>163</v>
      </c>
      <c r="D28" s="14">
        <v>9</v>
      </c>
    </row>
    <row r="29" spans="1:4" ht="27.9" customHeight="1" x14ac:dyDescent="0.25">
      <c r="A29" s="14">
        <f t="shared" si="2"/>
        <v>27</v>
      </c>
      <c r="B29" s="20" t="s">
        <v>110</v>
      </c>
      <c r="C29" s="14" t="s">
        <v>164</v>
      </c>
      <c r="D29" s="14">
        <v>26</v>
      </c>
    </row>
    <row r="30" spans="1:4" ht="27.9" customHeight="1" x14ac:dyDescent="0.25">
      <c r="A30" s="14">
        <f t="shared" si="2"/>
        <v>28</v>
      </c>
      <c r="B30" s="16" t="s">
        <v>112</v>
      </c>
      <c r="C30" s="14" t="s">
        <v>165</v>
      </c>
      <c r="D30" s="14">
        <v>8.5</v>
      </c>
    </row>
    <row r="31" spans="1:4" ht="27.9" customHeight="1" x14ac:dyDescent="0.25">
      <c r="A31" s="14">
        <f t="shared" si="2"/>
        <v>29</v>
      </c>
      <c r="B31" s="15" t="s">
        <v>114</v>
      </c>
      <c r="C31" s="14" t="s">
        <v>166</v>
      </c>
      <c r="D31" s="14">
        <v>18</v>
      </c>
    </row>
    <row r="32" spans="1:4" ht="27.9" customHeight="1" x14ac:dyDescent="0.25">
      <c r="A32" s="14">
        <f t="shared" si="2"/>
        <v>30</v>
      </c>
      <c r="B32" s="20" t="s">
        <v>118</v>
      </c>
      <c r="C32" s="14" t="s">
        <v>167</v>
      </c>
      <c r="D32" s="14">
        <v>16.5</v>
      </c>
    </row>
    <row r="33" spans="1:4" ht="27.9" customHeight="1" x14ac:dyDescent="0.25">
      <c r="A33" s="14">
        <f t="shared" ref="A33:A39" si="3">ROW()-2</f>
        <v>31</v>
      </c>
      <c r="B33" s="21" t="s">
        <v>119</v>
      </c>
      <c r="C33" s="14" t="s">
        <v>168</v>
      </c>
      <c r="D33" s="14">
        <v>13</v>
      </c>
    </row>
    <row r="34" spans="1:4" ht="27.9" customHeight="1" x14ac:dyDescent="0.25">
      <c r="A34" s="14">
        <f t="shared" si="3"/>
        <v>32</v>
      </c>
      <c r="B34" s="16" t="s">
        <v>121</v>
      </c>
      <c r="C34" s="14" t="s">
        <v>169</v>
      </c>
      <c r="D34" s="14">
        <v>0.5</v>
      </c>
    </row>
    <row r="35" spans="1:4" ht="31.95" customHeight="1" x14ac:dyDescent="0.25">
      <c r="A35" s="14">
        <f t="shared" si="3"/>
        <v>33</v>
      </c>
      <c r="B35" s="20" t="s">
        <v>123</v>
      </c>
      <c r="C35" s="18" t="s">
        <v>170</v>
      </c>
      <c r="D35" s="14">
        <v>15</v>
      </c>
    </row>
    <row r="36" spans="1:4" ht="27.9" customHeight="1" x14ac:dyDescent="0.25">
      <c r="A36" s="14">
        <f t="shared" si="3"/>
        <v>34</v>
      </c>
      <c r="B36" s="16" t="s">
        <v>126</v>
      </c>
      <c r="C36" s="14" t="s">
        <v>171</v>
      </c>
      <c r="D36" s="14">
        <v>12</v>
      </c>
    </row>
    <row r="37" spans="1:4" ht="25.95" customHeight="1" x14ac:dyDescent="0.25">
      <c r="A37" s="14">
        <f t="shared" si="3"/>
        <v>35</v>
      </c>
      <c r="B37" s="20" t="s">
        <v>128</v>
      </c>
      <c r="C37" s="14" t="s">
        <v>172</v>
      </c>
      <c r="D37" s="14">
        <v>0</v>
      </c>
    </row>
    <row r="38" spans="1:4" ht="30" customHeight="1" x14ac:dyDescent="0.25">
      <c r="A38" s="14">
        <f t="shared" si="3"/>
        <v>36</v>
      </c>
      <c r="B38" s="19" t="s">
        <v>130</v>
      </c>
      <c r="C38" s="18" t="s">
        <v>173</v>
      </c>
      <c r="D38" s="14">
        <v>5</v>
      </c>
    </row>
    <row r="39" spans="1:4" ht="27.9" customHeight="1" x14ac:dyDescent="0.25">
      <c r="A39" s="14">
        <f t="shared" si="3"/>
        <v>37</v>
      </c>
      <c r="B39" s="20" t="s">
        <v>132</v>
      </c>
      <c r="C39" s="64" t="s">
        <v>187</v>
      </c>
      <c r="D39" s="20">
        <v>4</v>
      </c>
    </row>
  </sheetData>
  <mergeCells count="1">
    <mergeCell ref="A1:D1"/>
  </mergeCells>
  <phoneticPr fontId="18" type="noConversion"/>
  <pageMargins left="1.0625" right="0.27500000000000002" top="0.47222222222222199" bottom="0.31458333333333299" header="0.23611111111111099" footer="0.156944444444444"/>
  <pageSetup paperSize="9" scale="72" orientation="portrait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0"/>
  <sheetViews>
    <sheetView zoomScale="55" zoomScaleNormal="55" workbookViewId="0">
      <selection activeCell="J15" sqref="J15"/>
    </sheetView>
  </sheetViews>
  <sheetFormatPr defaultColWidth="10" defaultRowHeight="39" customHeight="1" x14ac:dyDescent="0.25"/>
  <cols>
    <col min="1" max="1" width="8.5" customWidth="1"/>
    <col min="2" max="2" width="15.3984375" customWidth="1"/>
    <col min="3" max="30" width="10" customWidth="1"/>
    <col min="31" max="31" width="14.3984375" customWidth="1"/>
    <col min="32" max="44" width="10" customWidth="1"/>
    <col min="45" max="45" width="21.8984375" customWidth="1"/>
    <col min="46" max="46" width="10" customWidth="1"/>
  </cols>
  <sheetData>
    <row r="1" spans="1:46" ht="39" customHeight="1" x14ac:dyDescent="0.25">
      <c r="A1" s="45" t="s">
        <v>174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</row>
    <row r="2" spans="1:46" ht="39" customHeight="1" x14ac:dyDescent="0.25">
      <c r="A2" s="53" t="s">
        <v>1</v>
      </c>
      <c r="B2" s="53" t="s">
        <v>2</v>
      </c>
      <c r="C2" s="53" t="s">
        <v>3</v>
      </c>
      <c r="D2" s="53" t="s">
        <v>4</v>
      </c>
      <c r="E2" s="53" t="s">
        <v>5</v>
      </c>
      <c r="F2" s="53" t="s">
        <v>6</v>
      </c>
      <c r="G2" s="53" t="s">
        <v>7</v>
      </c>
      <c r="H2" s="53" t="s">
        <v>8</v>
      </c>
      <c r="I2" s="53" t="s">
        <v>9</v>
      </c>
      <c r="J2" s="53" t="s">
        <v>12</v>
      </c>
      <c r="K2" s="53" t="s">
        <v>11</v>
      </c>
      <c r="L2" s="53" t="s">
        <v>13</v>
      </c>
      <c r="M2" s="53" t="s">
        <v>14</v>
      </c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 t="s">
        <v>15</v>
      </c>
    </row>
    <row r="3" spans="1:46" ht="39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7">
        <v>26</v>
      </c>
      <c r="O3" s="7">
        <v>27</v>
      </c>
      <c r="P3" s="7">
        <v>28</v>
      </c>
      <c r="Q3" s="7">
        <v>29</v>
      </c>
      <c r="R3" s="7">
        <v>30</v>
      </c>
      <c r="S3" s="7">
        <v>31</v>
      </c>
      <c r="T3" s="7">
        <v>1</v>
      </c>
      <c r="U3" s="7">
        <v>2</v>
      </c>
      <c r="V3" s="7">
        <v>3</v>
      </c>
      <c r="W3" s="7">
        <v>4</v>
      </c>
      <c r="X3" s="7">
        <v>5</v>
      </c>
      <c r="Y3" s="7">
        <v>6</v>
      </c>
      <c r="Z3" s="7">
        <v>7</v>
      </c>
      <c r="AA3" s="7">
        <v>8</v>
      </c>
      <c r="AB3" s="7">
        <v>9</v>
      </c>
      <c r="AC3" s="7">
        <v>10</v>
      </c>
      <c r="AD3" s="7">
        <v>11</v>
      </c>
      <c r="AE3" s="7">
        <v>12</v>
      </c>
      <c r="AF3" s="7">
        <v>13</v>
      </c>
      <c r="AG3" s="7">
        <v>14</v>
      </c>
      <c r="AH3" s="7">
        <v>15</v>
      </c>
      <c r="AI3" s="7">
        <v>16</v>
      </c>
      <c r="AJ3" s="7">
        <v>17</v>
      </c>
      <c r="AK3" s="7">
        <v>18</v>
      </c>
      <c r="AL3" s="7">
        <v>19</v>
      </c>
      <c r="AM3" s="7">
        <v>20</v>
      </c>
      <c r="AN3" s="7">
        <v>21</v>
      </c>
      <c r="AO3" s="7">
        <v>22</v>
      </c>
      <c r="AP3" s="7">
        <v>23</v>
      </c>
      <c r="AQ3" s="7">
        <v>24</v>
      </c>
      <c r="AR3" s="7">
        <v>25</v>
      </c>
      <c r="AS3" s="53"/>
    </row>
    <row r="4" spans="1:46" ht="39" customHeight="1" x14ac:dyDescent="0.25">
      <c r="A4" s="53"/>
      <c r="B4" s="6" t="s">
        <v>16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7" t="s">
        <v>17</v>
      </c>
      <c r="O4" s="7" t="s">
        <v>18</v>
      </c>
      <c r="P4" s="7" t="s">
        <v>19</v>
      </c>
      <c r="Q4" s="7" t="s">
        <v>20</v>
      </c>
      <c r="R4" s="7" t="s">
        <v>21</v>
      </c>
      <c r="S4" s="7" t="s">
        <v>22</v>
      </c>
      <c r="T4" s="7" t="s">
        <v>23</v>
      </c>
      <c r="U4" s="7" t="s">
        <v>17</v>
      </c>
      <c r="V4" s="7" t="s">
        <v>18</v>
      </c>
      <c r="W4" s="7" t="s">
        <v>19</v>
      </c>
      <c r="X4" s="7" t="s">
        <v>20</v>
      </c>
      <c r="Y4" s="7" t="s">
        <v>21</v>
      </c>
      <c r="Z4" s="7" t="s">
        <v>22</v>
      </c>
      <c r="AA4" s="7" t="s">
        <v>23</v>
      </c>
      <c r="AB4" s="7" t="s">
        <v>17</v>
      </c>
      <c r="AC4" s="7" t="s">
        <v>18</v>
      </c>
      <c r="AD4" s="7" t="s">
        <v>19</v>
      </c>
      <c r="AE4" s="7" t="s">
        <v>20</v>
      </c>
      <c r="AF4" s="7" t="s">
        <v>21</v>
      </c>
      <c r="AG4" s="7" t="s">
        <v>22</v>
      </c>
      <c r="AH4" s="7" t="s">
        <v>23</v>
      </c>
      <c r="AI4" s="7" t="s">
        <v>17</v>
      </c>
      <c r="AJ4" s="7" t="s">
        <v>18</v>
      </c>
      <c r="AK4" s="7" t="s">
        <v>19</v>
      </c>
      <c r="AL4" s="7" t="s">
        <v>20</v>
      </c>
      <c r="AM4" s="7" t="s">
        <v>21</v>
      </c>
      <c r="AN4" s="7" t="s">
        <v>22</v>
      </c>
      <c r="AO4" s="7" t="s">
        <v>23</v>
      </c>
      <c r="AP4" s="7" t="s">
        <v>17</v>
      </c>
      <c r="AQ4" s="7" t="s">
        <v>18</v>
      </c>
      <c r="AR4" s="7" t="s">
        <v>19</v>
      </c>
      <c r="AS4" s="53"/>
    </row>
    <row r="5" spans="1:46" ht="54" customHeight="1" x14ac:dyDescent="0.25">
      <c r="A5" s="8">
        <v>1</v>
      </c>
      <c r="B5" s="8" t="s">
        <v>175</v>
      </c>
      <c r="C5" s="8">
        <v>31</v>
      </c>
      <c r="D5" s="8">
        <v>0</v>
      </c>
      <c r="E5" s="8">
        <v>31</v>
      </c>
      <c r="F5" s="8">
        <v>4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31</v>
      </c>
      <c r="M5" s="8">
        <v>13</v>
      </c>
      <c r="N5" s="9" t="s">
        <v>176</v>
      </c>
      <c r="O5" s="9" t="s">
        <v>176</v>
      </c>
      <c r="P5" s="9" t="s">
        <v>176</v>
      </c>
      <c r="Q5" s="9" t="s">
        <v>176</v>
      </c>
      <c r="R5" s="9" t="s">
        <v>176</v>
      </c>
      <c r="S5" s="9" t="s">
        <v>176</v>
      </c>
      <c r="T5" s="9" t="s">
        <v>176</v>
      </c>
      <c r="U5" s="9" t="s">
        <v>176</v>
      </c>
      <c r="V5" s="9" t="s">
        <v>176</v>
      </c>
      <c r="W5" s="9" t="s">
        <v>176</v>
      </c>
      <c r="X5" s="9" t="s">
        <v>176</v>
      </c>
      <c r="Y5" s="9" t="s">
        <v>176</v>
      </c>
      <c r="Z5" s="9" t="s">
        <v>176</v>
      </c>
      <c r="AA5" s="9" t="s">
        <v>176</v>
      </c>
      <c r="AB5" s="9" t="s">
        <v>176</v>
      </c>
      <c r="AC5" s="9" t="s">
        <v>176</v>
      </c>
      <c r="AD5" s="9" t="s">
        <v>176</v>
      </c>
      <c r="AE5" s="9" t="s">
        <v>176</v>
      </c>
      <c r="AF5" s="9" t="s">
        <v>176</v>
      </c>
      <c r="AG5" s="9" t="s">
        <v>176</v>
      </c>
      <c r="AH5" s="9" t="s">
        <v>176</v>
      </c>
      <c r="AI5" s="9" t="s">
        <v>176</v>
      </c>
      <c r="AJ5" s="9" t="s">
        <v>176</v>
      </c>
      <c r="AK5" s="9" t="s">
        <v>176</v>
      </c>
      <c r="AL5" s="9" t="s">
        <v>176</v>
      </c>
      <c r="AM5" s="9" t="s">
        <v>176</v>
      </c>
      <c r="AN5" s="9" t="s">
        <v>176</v>
      </c>
      <c r="AO5" s="9" t="s">
        <v>176</v>
      </c>
      <c r="AP5" s="9" t="s">
        <v>176</v>
      </c>
      <c r="AQ5" s="9" t="s">
        <v>176</v>
      </c>
      <c r="AR5" s="9" t="s">
        <v>176</v>
      </c>
      <c r="AS5" s="8" t="s">
        <v>177</v>
      </c>
    </row>
    <row r="6" spans="1:46" ht="39" customHeight="1" x14ac:dyDescent="0.25">
      <c r="A6" s="8">
        <v>2</v>
      </c>
      <c r="B6" s="8" t="s">
        <v>178</v>
      </c>
      <c r="C6" s="8">
        <v>31</v>
      </c>
      <c r="D6" s="8">
        <v>0</v>
      </c>
      <c r="E6" s="8">
        <v>31</v>
      </c>
      <c r="F6" s="8">
        <v>4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31</v>
      </c>
      <c r="M6" s="8">
        <v>12</v>
      </c>
      <c r="N6" s="9" t="s">
        <v>176</v>
      </c>
      <c r="O6" s="9" t="s">
        <v>176</v>
      </c>
      <c r="P6" s="9" t="s">
        <v>176</v>
      </c>
      <c r="Q6" s="9" t="s">
        <v>176</v>
      </c>
      <c r="R6" s="9" t="s">
        <v>176</v>
      </c>
      <c r="S6" s="9" t="s">
        <v>176</v>
      </c>
      <c r="T6" s="9" t="s">
        <v>176</v>
      </c>
      <c r="U6" s="9" t="s">
        <v>176</v>
      </c>
      <c r="V6" s="9" t="s">
        <v>176</v>
      </c>
      <c r="W6" s="9" t="s">
        <v>176</v>
      </c>
      <c r="X6" s="9" t="s">
        <v>176</v>
      </c>
      <c r="Y6" s="9" t="s">
        <v>176</v>
      </c>
      <c r="Z6" s="9" t="s">
        <v>176</v>
      </c>
      <c r="AA6" s="9" t="s">
        <v>176</v>
      </c>
      <c r="AB6" s="9" t="s">
        <v>176</v>
      </c>
      <c r="AC6" s="9" t="s">
        <v>176</v>
      </c>
      <c r="AD6" s="9" t="s">
        <v>176</v>
      </c>
      <c r="AE6" s="9" t="s">
        <v>176</v>
      </c>
      <c r="AF6" s="9" t="s">
        <v>176</v>
      </c>
      <c r="AG6" s="9" t="s">
        <v>176</v>
      </c>
      <c r="AH6" s="9" t="s">
        <v>176</v>
      </c>
      <c r="AI6" s="9" t="s">
        <v>176</v>
      </c>
      <c r="AJ6" s="9" t="s">
        <v>176</v>
      </c>
      <c r="AK6" s="9" t="s">
        <v>176</v>
      </c>
      <c r="AL6" s="9" t="s">
        <v>176</v>
      </c>
      <c r="AM6" s="9" t="s">
        <v>176</v>
      </c>
      <c r="AN6" s="9" t="s">
        <v>176</v>
      </c>
      <c r="AO6" s="9" t="s">
        <v>176</v>
      </c>
      <c r="AP6" s="9" t="s">
        <v>176</v>
      </c>
      <c r="AQ6" s="9" t="s">
        <v>176</v>
      </c>
      <c r="AR6" s="9" t="s">
        <v>176</v>
      </c>
      <c r="AS6" s="10" t="s">
        <v>179</v>
      </c>
    </row>
    <row r="7" spans="1:46" ht="39" customHeight="1" x14ac:dyDescent="0.25">
      <c r="A7" s="8">
        <v>3</v>
      </c>
      <c r="B7" s="8" t="s">
        <v>180</v>
      </c>
      <c r="C7" s="8">
        <v>31</v>
      </c>
      <c r="D7" s="8">
        <v>0</v>
      </c>
      <c r="E7" s="8">
        <v>31</v>
      </c>
      <c r="F7" s="8">
        <v>4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31</v>
      </c>
      <c r="M7" s="8">
        <v>24</v>
      </c>
      <c r="N7" s="9" t="s">
        <v>176</v>
      </c>
      <c r="O7" s="9" t="s">
        <v>176</v>
      </c>
      <c r="P7" s="9" t="s">
        <v>176</v>
      </c>
      <c r="Q7" s="9" t="s">
        <v>176</v>
      </c>
      <c r="R7" s="9" t="s">
        <v>176</v>
      </c>
      <c r="S7" s="9" t="s">
        <v>176</v>
      </c>
      <c r="T7" s="9" t="s">
        <v>176</v>
      </c>
      <c r="U7" s="9" t="s">
        <v>176</v>
      </c>
      <c r="V7" s="9" t="s">
        <v>176</v>
      </c>
      <c r="W7" s="9" t="s">
        <v>176</v>
      </c>
      <c r="X7" s="9" t="s">
        <v>176</v>
      </c>
      <c r="Y7" s="9" t="s">
        <v>176</v>
      </c>
      <c r="Z7" s="9" t="s">
        <v>176</v>
      </c>
      <c r="AA7" s="9" t="s">
        <v>176</v>
      </c>
      <c r="AB7" s="9" t="s">
        <v>176</v>
      </c>
      <c r="AC7" s="9" t="s">
        <v>176</v>
      </c>
      <c r="AD7" s="9" t="s">
        <v>176</v>
      </c>
      <c r="AE7" s="9" t="s">
        <v>176</v>
      </c>
      <c r="AF7" s="9" t="s">
        <v>176</v>
      </c>
      <c r="AG7" s="9" t="s">
        <v>176</v>
      </c>
      <c r="AH7" s="9" t="s">
        <v>176</v>
      </c>
      <c r="AI7" s="9" t="s">
        <v>176</v>
      </c>
      <c r="AJ7" s="9" t="s">
        <v>176</v>
      </c>
      <c r="AK7" s="9" t="s">
        <v>176</v>
      </c>
      <c r="AL7" s="9" t="s">
        <v>176</v>
      </c>
      <c r="AM7" s="9" t="s">
        <v>176</v>
      </c>
      <c r="AN7" s="9" t="s">
        <v>176</v>
      </c>
      <c r="AO7" s="9" t="s">
        <v>176</v>
      </c>
      <c r="AP7" s="9" t="s">
        <v>176</v>
      </c>
      <c r="AQ7" s="9" t="s">
        <v>176</v>
      </c>
      <c r="AR7" s="9" t="s">
        <v>176</v>
      </c>
      <c r="AS7" s="10" t="s">
        <v>181</v>
      </c>
      <c r="AT7" s="11"/>
    </row>
    <row r="8" spans="1:46" ht="39" customHeight="1" x14ac:dyDescent="0.25">
      <c r="A8" s="49" t="s">
        <v>134</v>
      </c>
      <c r="B8" s="49"/>
      <c r="C8" s="8">
        <f>SUM(C5:C7)</f>
        <v>93</v>
      </c>
      <c r="D8" s="8">
        <f>SUM(D5:D7)</f>
        <v>0</v>
      </c>
      <c r="E8" s="8">
        <f>SUM(E5:E7)</f>
        <v>93</v>
      </c>
      <c r="F8" s="8">
        <f>SUM(F5:F7)</f>
        <v>12</v>
      </c>
      <c r="G8" s="8">
        <f t="shared" ref="G8:M8" si="0">SUM(G5:G7)</f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8">
        <f t="shared" si="0"/>
        <v>0</v>
      </c>
      <c r="L8" s="8">
        <f>SUM(L5:L7)</f>
        <v>93</v>
      </c>
      <c r="M8" s="8">
        <f>SUM(M5:M7)</f>
        <v>49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</row>
    <row r="9" spans="1:46" ht="39" customHeight="1" x14ac:dyDescent="0.25">
      <c r="A9" s="54" t="s">
        <v>135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6"/>
    </row>
    <row r="10" spans="1:46" ht="39" customHeight="1" x14ac:dyDescent="0.25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9"/>
    </row>
  </sheetData>
  <mergeCells count="18">
    <mergeCell ref="AS2:AS4"/>
    <mergeCell ref="A9:AS10"/>
    <mergeCell ref="A1:AS1"/>
    <mergeCell ref="N2:AR2"/>
    <mergeCell ref="A8:B8"/>
    <mergeCell ref="A2:A4"/>
    <mergeCell ref="B2:B3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</mergeCells>
  <phoneticPr fontId="18" type="noConversion"/>
  <pageMargins left="0.156944444444444" right="0.75" top="1" bottom="1" header="0.51180555555555596" footer="0.51180555555555596"/>
  <pageSetup paperSize="9" scale="46" orientation="landscape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"/>
  <sheetViews>
    <sheetView workbookViewId="0">
      <selection activeCell="C14" sqref="C14"/>
    </sheetView>
  </sheetViews>
  <sheetFormatPr defaultColWidth="51.59765625" defaultRowHeight="29.1" customHeight="1" x14ac:dyDescent="0.25"/>
  <cols>
    <col min="1" max="1" width="9.09765625" style="1" customWidth="1"/>
    <col min="2" max="2" width="14.5" style="1" customWidth="1"/>
    <col min="3" max="3" width="57.3984375" style="2" customWidth="1"/>
    <col min="4" max="4" width="13.296875" style="2" customWidth="1"/>
    <col min="5" max="16384" width="51.59765625" style="3"/>
  </cols>
  <sheetData>
    <row r="1" spans="1:4" ht="29.1" customHeight="1" x14ac:dyDescent="0.25">
      <c r="A1" s="60" t="s">
        <v>136</v>
      </c>
      <c r="B1" s="60"/>
      <c r="C1" s="61"/>
      <c r="D1" s="60"/>
    </row>
    <row r="2" spans="1:4" ht="29.1" customHeight="1" x14ac:dyDescent="0.25">
      <c r="A2" s="4" t="s">
        <v>1</v>
      </c>
      <c r="B2" s="4" t="s">
        <v>137</v>
      </c>
      <c r="C2" s="5" t="s">
        <v>138</v>
      </c>
      <c r="D2" s="4" t="s">
        <v>139</v>
      </c>
    </row>
    <row r="3" spans="1:4" ht="29.1" customHeight="1" x14ac:dyDescent="0.25">
      <c r="A3" s="4">
        <f>ROW()-2</f>
        <v>1</v>
      </c>
      <c r="B3" s="4" t="s">
        <v>175</v>
      </c>
      <c r="C3" s="5" t="s">
        <v>182</v>
      </c>
      <c r="D3" s="5">
        <v>13</v>
      </c>
    </row>
    <row r="4" spans="1:4" ht="39.9" customHeight="1" x14ac:dyDescent="0.25">
      <c r="A4" s="4">
        <f>ROW()-2</f>
        <v>2</v>
      </c>
      <c r="B4" s="4" t="s">
        <v>180</v>
      </c>
      <c r="C4" s="5" t="s">
        <v>182</v>
      </c>
      <c r="D4" s="5">
        <v>24</v>
      </c>
    </row>
    <row r="5" spans="1:4" ht="30" customHeight="1" x14ac:dyDescent="0.25">
      <c r="A5" s="4">
        <f>ROW()-2</f>
        <v>3</v>
      </c>
      <c r="B5" s="4" t="s">
        <v>178</v>
      </c>
      <c r="C5" s="5" t="s">
        <v>182</v>
      </c>
      <c r="D5" s="5">
        <v>12</v>
      </c>
    </row>
  </sheetData>
  <mergeCells count="1">
    <mergeCell ref="A1:D1"/>
  </mergeCells>
  <phoneticPr fontId="18" type="noConversion"/>
  <pageMargins left="0.75" right="0.75" top="1" bottom="1" header="0.5" footer="0.5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当月考勤</vt:lpstr>
      <vt:lpstr>考勤说明</vt:lpstr>
      <vt:lpstr>运维人员</vt:lpstr>
      <vt:lpstr>运维考勤说明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- EMC</cp:lastModifiedBy>
  <dcterms:created xsi:type="dcterms:W3CDTF">2016-12-02T08:54:00Z</dcterms:created>
  <dcterms:modified xsi:type="dcterms:W3CDTF">2025-12-05T07:10:42Z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5394DA1D08F64FC899FF616F9DA1B355_13</vt:lpwstr>
  </property>
  <property fmtid="{D5CDD505-2E9C-101B-9397-08002B2CF9AE}" pid="4" name="KSOReadingLayout">
    <vt:bool>true</vt:bool>
  </property>
  <property fmtid="{D5CDD505-2E9C-101B-9397-08002B2CF9AE}" pid="5" name="EM_Doc_Temp_ID">
    <vt:lpwstr>C3ADF5A9-B480-4577-B34C-91B28786753F</vt:lpwstr>
  </property>
</Properties>
</file>
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ZZ\kaoqin\"/>
    </mc:Choice>
  </mc:AlternateContent>
  <xr:revisionPtr revIDLastSave="0" documentId="13_ncr:1_{08CFE376-098B-496A-8158-4948951041F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当月考勤" sheetId="1" r:id="rId1"/>
    <sheet name="考勤说明" sheetId="2" r:id="rId2"/>
    <sheet name="运维人员" sheetId="3" r:id="rId3"/>
    <sheet name="运维考勤说明" sheetId="4" r:id="rId4"/>
  </sheets>
  <calcPr calcId="191029"/>
</workbook>
</file>

<file path=xl/calcChain.xml><?xml version="1.0" encoding="utf-8"?>
<calcChain xmlns="http://schemas.openxmlformats.org/spreadsheetml/2006/main">
  <c r="L8" i="3" l="1"/>
  <c r="M8" i="3"/>
  <c r="C42" i="1"/>
  <c r="D42" i="1"/>
  <c r="E42" i="1"/>
  <c r="F42" i="1"/>
  <c r="G42" i="1"/>
  <c r="H42" i="1"/>
  <c r="I42" i="1"/>
  <c r="J42" i="1"/>
  <c r="K42" i="1"/>
  <c r="L42" i="1"/>
  <c r="M42" i="1"/>
  <c r="N42" i="1"/>
  <c r="F8" i="3"/>
  <c r="E8" i="3"/>
  <c r="C8" i="3"/>
  <c r="A5" i="4"/>
  <c r="A4" i="4"/>
  <c r="A3" i="4"/>
  <c r="K8" i="3"/>
  <c r="J8" i="3"/>
  <c r="I8" i="3"/>
  <c r="H8" i="3"/>
  <c r="G8" i="3"/>
  <c r="D8" i="3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sharedStrings.xml><?xml version="1.0" encoding="utf-8"?>
<sst xmlns="http://schemas.openxmlformats.org/spreadsheetml/2006/main" count="361" uniqueCount="148">
  <si>
    <t>序号</t>
  </si>
  <si>
    <t>姓名</t>
  </si>
  <si>
    <t>出勤日</t>
  </si>
  <si>
    <t>省内</t>
  </si>
  <si>
    <t>省外</t>
  </si>
  <si>
    <t>加班</t>
  </si>
  <si>
    <t>病假</t>
  </si>
  <si>
    <t>请假</t>
  </si>
  <si>
    <t>调休</t>
  </si>
  <si>
    <t>未打卡</t>
  </si>
  <si>
    <t>旷工</t>
  </si>
  <si>
    <t>迟到</t>
  </si>
  <si>
    <t>工地天数</t>
  </si>
  <si>
    <t>存班</t>
  </si>
  <si>
    <t>备注（入职时间）</t>
  </si>
  <si>
    <t>星期</t>
  </si>
  <si>
    <t>日</t>
  </si>
  <si>
    <t>一</t>
  </si>
  <si>
    <t>二</t>
  </si>
  <si>
    <t>三</t>
  </si>
  <si>
    <t>四</t>
  </si>
  <si>
    <t>五</t>
  </si>
  <si>
    <t>六</t>
  </si>
  <si>
    <t>魏  巍</t>
  </si>
  <si>
    <t>2012.9.20</t>
  </si>
  <si>
    <t>李方军</t>
  </si>
  <si>
    <t>2017.9.4</t>
  </si>
  <si>
    <t>卜颖</t>
  </si>
  <si>
    <t>2020.12.21</t>
  </si>
  <si>
    <t>包  杰</t>
  </si>
  <si>
    <t>2018.6.4</t>
  </si>
  <si>
    <t>王力刚</t>
  </si>
  <si>
    <t>2019.7.22</t>
  </si>
  <si>
    <t>马德峰</t>
  </si>
  <si>
    <t>2022.7.28</t>
  </si>
  <si>
    <t>李玲</t>
  </si>
  <si>
    <t>2024.3.12</t>
  </si>
  <si>
    <t>宋宇萌</t>
  </si>
  <si>
    <t>2024.10.15</t>
  </si>
  <si>
    <t>肖明菊</t>
  </si>
  <si>
    <t>2019.9.19</t>
  </si>
  <si>
    <t>田静</t>
  </si>
  <si>
    <t>2022.7.21</t>
  </si>
  <si>
    <t>王家彬</t>
  </si>
  <si>
    <t>2016.2.19</t>
  </si>
  <si>
    <t>朱培根</t>
  </si>
  <si>
    <t>蒋春勇</t>
  </si>
  <si>
    <t>2017.6.19</t>
  </si>
  <si>
    <t>马雪晴</t>
  </si>
  <si>
    <r>
      <rPr>
        <sz val="22"/>
        <rFont val="宋体"/>
        <family val="3"/>
        <charset val="134"/>
      </rPr>
      <t>2</t>
    </r>
    <r>
      <rPr>
        <sz val="22"/>
        <rFont val="宋体"/>
        <family val="3"/>
        <charset val="134"/>
      </rPr>
      <t>024.07.01</t>
    </r>
  </si>
  <si>
    <t>李祥霈</t>
  </si>
  <si>
    <t>刘伟</t>
  </si>
  <si>
    <t>2024.4.15</t>
  </si>
  <si>
    <t>周伟</t>
  </si>
  <si>
    <t>2023.7.5</t>
  </si>
  <si>
    <t>杨翠环</t>
  </si>
  <si>
    <t>2022.7.4</t>
  </si>
  <si>
    <t>王延伟</t>
  </si>
  <si>
    <t>2024.6.17</t>
  </si>
  <si>
    <t>周晔</t>
  </si>
  <si>
    <t>2024.07.08</t>
  </si>
  <si>
    <t>楚良会</t>
  </si>
  <si>
    <t>2022.2.21</t>
  </si>
  <si>
    <t>张小旭</t>
  </si>
  <si>
    <t>2020.5.10</t>
  </si>
  <si>
    <t>王仰来</t>
  </si>
  <si>
    <t>2022.6.28</t>
  </si>
  <si>
    <t>高洪喜</t>
  </si>
  <si>
    <t>2023.2.20</t>
  </si>
  <si>
    <t>刘潇</t>
  </si>
  <si>
    <t>2021.10.25</t>
  </si>
  <si>
    <t>许炳连</t>
  </si>
  <si>
    <t>2024.4.1</t>
  </si>
  <si>
    <t>刘善友</t>
  </si>
  <si>
    <t>2023.7.1</t>
  </si>
  <si>
    <t>刘淑亚</t>
  </si>
  <si>
    <t>2019.7.11</t>
  </si>
  <si>
    <t>张  佩</t>
  </si>
  <si>
    <t>2012.9.1</t>
  </si>
  <si>
    <t>周炳</t>
  </si>
  <si>
    <t>于恒哲</t>
  </si>
  <si>
    <t>2024.4.16</t>
  </si>
  <si>
    <t>徐雪梅</t>
  </si>
  <si>
    <t>2022.8.29</t>
  </si>
  <si>
    <t>张庆德</t>
  </si>
  <si>
    <t>2023.6.16</t>
  </si>
  <si>
    <t>张洋</t>
  </si>
  <si>
    <t>2025.6.23</t>
  </si>
  <si>
    <t>臧国昊</t>
  </si>
  <si>
    <t>2024.3.6</t>
  </si>
  <si>
    <t>胡浩然</t>
  </si>
  <si>
    <t>2025.6.3</t>
  </si>
  <si>
    <t>梁树维</t>
  </si>
  <si>
    <t>2025.10.20</t>
  </si>
  <si>
    <t>合计</t>
  </si>
  <si>
    <t>备注：公司出勤：√、 星期：○、 放假：※  请假：假 、病假：病假、 加班：+、 年假：年、 迟到：迟、 调休：调休、调休半天：√/调、 请假半天：√/假、 梁宝寺：梁 、郓：郓城、济：济宁、白：白庄、曲：曲阜、京：北京、博：博兴、聊：聊城、蒙：内蒙、枣：枣庄、新：新驿、贵：贵州</t>
  </si>
  <si>
    <t>2025年11月考勤情况说明</t>
  </si>
  <si>
    <t>姓  名</t>
  </si>
  <si>
    <t>加班/补休/年假/出差/迟到/早退</t>
  </si>
  <si>
    <t>存班情况</t>
  </si>
  <si>
    <t>魏巍</t>
  </si>
  <si>
    <t>10.29济宁半天、10.30济宁半天，北京半天，11.3-11.4龙口，11.5-11.7威海，11.9-11.16门源，11.20济南威海各半天，11.24-11.25龙口</t>
  </si>
  <si>
    <t>11.3-11.4、11.25龙口，11.7-11.8、11.18兖州，11.9-11.13门源，11.17、11.20曲阜，11.19济宁</t>
  </si>
  <si>
    <t>10.30北京，11.2、11.8-11.9、11.15-11.16、11.22各加班1天，11.3-11.7、11.20、11.25威海</t>
  </si>
  <si>
    <t>11.22加班1天，11.23加班0.5天</t>
  </si>
  <si>
    <t>/</t>
  </si>
  <si>
    <t>11.22加班1天</t>
  </si>
  <si>
    <t>10.27、11.14各调休半天，11.21加班半天，11.22加班1天</t>
  </si>
  <si>
    <t>11.3调休1天，11.21加班半天，11.22加班1天</t>
  </si>
  <si>
    <t>10.28、10.30各调休半天，11.22加班1天</t>
  </si>
  <si>
    <t>10.26-10.27、11.7-11.10、11.16-11.24曲阜尼山，11.25济宁新天地，其余兖州文化中心</t>
  </si>
  <si>
    <t>11.1-11.2、11.6-11.7、11.17-11.18、11.22-11.25公司，11.11-11.14绿地428项目，11.19-11.21曲阜尼山，11.15-11.16调休，其余兖州文化中心</t>
  </si>
  <si>
    <t>10.26-10.28、11.7圣都酒店，其余兖州文化中心</t>
  </si>
  <si>
    <t>10.30北京，11.3-11.4龙口，11.4-11.6威海，11.12-11.13绿地423,11.25威海</t>
  </si>
  <si>
    <t>11.1-11.2、11.7公司、11.3-11.4龙口、11.5-11.6威海，其余曲阜尼山</t>
  </si>
  <si>
    <t>11.20北京半天11.21北京，11.22加班1天</t>
  </si>
  <si>
    <t>11.15-11.18调休，其余南京</t>
  </si>
  <si>
    <t>10.31调休0.5天，11.4、11.6、11.22各调休1天</t>
  </si>
  <si>
    <t>10.30-11.2调休，其余南京</t>
  </si>
  <si>
    <t>10.26、11.4-11.5、11.12、11.15、11.23调休，10.28-11.1、11.3中医院，其余文化中心</t>
  </si>
  <si>
    <t>10.29、11.7、11.13、11.15、11.20调休，10.26-10.28、10.30-11.3中医院，11.21-11.23机场，其余文化中心</t>
  </si>
  <si>
    <t>11.2、11.6-11.7、11.15调休，其余机场</t>
  </si>
  <si>
    <t>10.26、11.5-11.6、11.9、11.16调休，11.18-11.20大安机场，其余文化中心</t>
  </si>
  <si>
    <t>10.26、-10.28、11.1、11.25调休，其余绿地会展</t>
  </si>
  <si>
    <t>10.26、11.1、11.16、11.25调休，其余绿地会展</t>
  </si>
  <si>
    <t>11.1调休半天，11.8-11.9、11.16-11.17调休，其余文化中心</t>
  </si>
  <si>
    <t>10.26、11.23调休，11.4、11.9-11.10绿的会展，11.5、11.11、11.13、绿地428，，10.28、11.6-11.8、11.12、11.21公司考勤，其余济宁</t>
  </si>
  <si>
    <t>10.30、11.1-11.2、11.9、11.23调休，其余绿地会展</t>
  </si>
  <si>
    <t>10.26、11.2、11.8-11.9、11.23调休，其余绿地会展</t>
  </si>
  <si>
    <t>10.27加班0.5天，11.6、11.7各调休1天，11.15加班0.5天，11.22加班1天</t>
  </si>
  <si>
    <t>10.28-10.29、11.9、11.16调休，其余大安机场</t>
  </si>
  <si>
    <t>10.26-11.25兖州文化中心</t>
  </si>
  <si>
    <t>11.8-11.11调休，其余南京</t>
  </si>
  <si>
    <t>11.5、11.8-11.9、11.16-11.17调休，其余文化中心</t>
  </si>
  <si>
    <t xml:space="preserve">       山东宜美科节能服务有限责任公司考勤表2025年11月份考勤</t>
  </si>
  <si>
    <t>王攀科</t>
  </si>
  <si>
    <t>邵寨</t>
  </si>
  <si>
    <t>2020.12.26</t>
  </si>
  <si>
    <t>杨志谦</t>
  </si>
  <si>
    <t>2024.12.4</t>
  </si>
  <si>
    <t>马驰</t>
  </si>
  <si>
    <t>2022.10.22</t>
  </si>
  <si>
    <t>10.26-11.25邵寨</t>
  </si>
  <si>
    <t>10.26-11.6曲阜尼山，11.7-11.17兖州文化中心，11.18、11.21、11.22公司，11.19、11.24-11.25绿地428，11.20威海</t>
    <phoneticPr fontId="18" type="noConversion"/>
  </si>
  <si>
    <t>11.20调休，11.21-11.23兖州文化中心，其余济宁新天地</t>
    <phoneticPr fontId="18" type="noConversion"/>
  </si>
  <si>
    <t>11.10调休0.5天</t>
    <phoneticPr fontId="18" type="noConversion"/>
  </si>
  <si>
    <t xml:space="preserve">      山东宜美科节能服务有限责任公司考勤表</t>
    <phoneticPr fontId="18" type="noConversion"/>
  </si>
  <si>
    <t>备注：公司出勤：√、 星期：○、 放假：※  请假：假 、病假：病假、 加班：+、 年假：年、 迟到：迟、 调休：调休、调休半天：√/调、 请假半天：√/假、 梁宝寺：梁 、郓：郓城、济：济宁、白：白庄、曲：曲阜、京：北京、博：博兴、聊：聊城、蒙：内蒙、枣：枣庄、新：新驿、贵：贵州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</si>
</sst>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[Red]\(0.00\)"/>
  </numFmts>
  <fonts count="23" x14ac:knownFonts="1">
    <font>
      <sz val="12"/>
      <name val="宋体"/>
      <charset val="134"/>
    </font>
    <font>
      <sz val="14"/>
      <name val="微软雅黑"/>
      <family val="2"/>
      <charset val="134"/>
    </font>
    <font>
      <sz val="14"/>
      <name val="宋体"/>
      <family val="3"/>
      <charset val="134"/>
    </font>
    <font>
      <sz val="36"/>
      <name val="宋体"/>
      <family val="3"/>
      <charset val="134"/>
    </font>
    <font>
      <sz val="24"/>
      <name val="宋体"/>
      <family val="3"/>
      <charset val="134"/>
    </font>
    <font>
      <sz val="22"/>
      <name val="宋体"/>
      <family val="3"/>
      <charset val="134"/>
    </font>
    <font>
      <sz val="26"/>
      <name val="宋体"/>
      <family val="3"/>
      <charset val="134"/>
    </font>
    <font>
      <sz val="22"/>
      <name val="宋体"/>
      <family val="3"/>
      <charset val="134"/>
      <scheme val="minor"/>
    </font>
    <font>
      <sz val="16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1"/>
      <name val="宋体"/>
      <family val="3"/>
      <charset val="134"/>
      <scheme val="minor"/>
    </font>
    <font>
      <sz val="22"/>
      <name val="Arial"/>
      <family val="2"/>
    </font>
    <font>
      <sz val="22"/>
      <name val="Segoe UI Symbol"/>
      <family val="2"/>
    </font>
    <font>
      <sz val="24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22"/>
      <name val="宋体"/>
      <family val="3"/>
      <charset val="134"/>
    </font>
    <font>
      <sz val="22"/>
      <name val="Segoe UI Symbol"/>
      <family val="1"/>
    </font>
    <font>
      <sz val="12"/>
      <name val="宋体"/>
      <family val="3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>
      <alignment vertical="center"/>
    </xf>
    <xf numFmtId="9" fontId="17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17" fillId="0" borderId="0"/>
    <xf numFmtId="0" fontId="17" fillId="0" borderId="0">
      <alignment vertical="center"/>
    </xf>
    <xf numFmtId="0" fontId="15" fillId="0" borderId="0">
      <alignment vertical="center"/>
    </xf>
    <xf numFmtId="0" fontId="17" fillId="0" borderId="0">
      <alignment vertical="center"/>
    </xf>
    <xf numFmtId="0" fontId="16" fillId="0" borderId="0">
      <protection locked="0"/>
    </xf>
  </cellStyleXfs>
  <cellXfs count="66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/>
    </xf>
    <xf numFmtId="0" fontId="5" fillId="0" borderId="1" xfId="1" applyNumberFormat="1" applyFont="1" applyFill="1" applyBorder="1" applyAlignment="1">
      <alignment horizontal="center" vertical="center" wrapText="1"/>
    </xf>
    <xf numFmtId="0" fontId="5" fillId="0" borderId="2" xfId="1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9" fillId="0" borderId="1" xfId="1" applyNumberFormat="1" applyFont="1" applyFill="1" applyBorder="1" applyAlignment="1">
      <alignment horizontal="center" vertical="center" wrapText="1"/>
    </xf>
    <xf numFmtId="0" fontId="0" fillId="0" borderId="1" xfId="1" applyNumberFormat="1" applyFont="1" applyFill="1" applyBorder="1" applyAlignment="1">
      <alignment horizontal="center" vertical="center"/>
    </xf>
    <xf numFmtId="0" fontId="0" fillId="0" borderId="9" xfId="1" applyNumberFormat="1" applyFont="1" applyFill="1" applyBorder="1" applyAlignment="1">
      <alignment horizontal="center" vertical="center"/>
    </xf>
    <xf numFmtId="0" fontId="0" fillId="0" borderId="9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7" applyFont="1" applyBorder="1" applyAlignment="1" applyProtection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0" fontId="11" fillId="0" borderId="0" xfId="0" applyFont="1">
      <alignment vertical="center"/>
    </xf>
    <xf numFmtId="176" fontId="10" fillId="0" borderId="0" xfId="0" applyNumberFormat="1" applyFont="1" applyAlignment="1">
      <alignment horizontal="left" vertical="center" shrinkToFit="1"/>
    </xf>
    <xf numFmtId="0" fontId="10" fillId="0" borderId="0" xfId="0" applyFont="1" applyAlignment="1"/>
    <xf numFmtId="49" fontId="10" fillId="0" borderId="0" xfId="0" applyNumberFormat="1" applyFont="1" applyAlignment="1"/>
    <xf numFmtId="0" fontId="10" fillId="0" borderId="0" xfId="0" applyFont="1" applyAlignment="1">
      <alignment wrapText="1"/>
    </xf>
    <xf numFmtId="0" fontId="5" fillId="0" borderId="1" xfId="1" applyNumberFormat="1" applyFont="1" applyFill="1" applyBorder="1" applyAlignment="1">
      <alignment vertical="center" wrapText="1"/>
    </xf>
    <xf numFmtId="0" fontId="12" fillId="0" borderId="0" xfId="1" applyNumberFormat="1" applyFont="1" applyFill="1" applyBorder="1" applyAlignment="1">
      <alignment horizontal="center" vertical="center"/>
    </xf>
    <xf numFmtId="0" fontId="5" fillId="0" borderId="9" xfId="1" applyNumberFormat="1" applyFont="1" applyFill="1" applyBorder="1" applyAlignment="1">
      <alignment horizontal="center" vertical="center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3" fillId="0" borderId="1" xfId="1" applyNumberFormat="1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/>
    </xf>
    <xf numFmtId="0" fontId="5" fillId="0" borderId="1" xfId="7" applyFont="1" applyBorder="1" applyAlignment="1" applyProtection="1">
      <alignment horizontal="center" vertical="center" wrapText="1"/>
    </xf>
    <xf numFmtId="177" fontId="5" fillId="0" borderId="1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9" fillId="0" borderId="1" xfId="1" applyNumberFormat="1" applyFont="1" applyFill="1" applyBorder="1" applyAlignment="1">
      <alignment horizontal="center" vertical="center" wrapText="1"/>
    </xf>
    <xf numFmtId="0" fontId="20" fillId="0" borderId="1" xfId="1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1" applyNumberFormat="1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 applyProtection="1">
      <alignment horizontal="center" vertical="center"/>
    </xf>
    <xf numFmtId="49" fontId="3" fillId="0" borderId="1" xfId="1" applyNumberFormat="1" applyFont="1" applyFill="1" applyBorder="1" applyAlignment="1" applyProtection="1">
      <alignment horizontal="center" vertical="center"/>
    </xf>
    <xf numFmtId="0" fontId="3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 applyProtection="1">
      <alignment horizontal="center" vertical="center" wrapText="1"/>
    </xf>
    <xf numFmtId="0" fontId="8" fillId="0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Fill="1" applyBorder="1" applyAlignment="1" applyProtection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 wrapText="1"/>
    </xf>
  </cellXfs>
  <cellStyles count="8">
    <cellStyle name="百分比" xfId="1" builtinId="5"/>
    <cellStyle name="百分比 4" xfId="2" xr:uid="{00000000-0005-0000-0000-000031000000}"/>
    <cellStyle name="常规" xfId="0" builtinId="0"/>
    <cellStyle name="常规 2" xfId="3" xr:uid="{00000000-0005-0000-0000-000032000000}"/>
    <cellStyle name="常规 2 5" xfId="4" xr:uid="{00000000-0005-0000-0000-000033000000}"/>
    <cellStyle name="常规 4" xfId="5" xr:uid="{00000000-0005-0000-0000-000034000000}"/>
    <cellStyle name="常规 9" xfId="6" xr:uid="{00000000-0005-0000-0000-000035000000}"/>
    <cellStyle name="常规_Sheet1" xfId="7" xr:uid="{00000000-0005-0000-0000-000036000000}"/>
  </cellStyles>
  <dxfs count="0"/>
  <tableStyles count="0" defaultTableStyle="TableStyleMedium2" defaultPivotStyle="PivotStyleLight16"/>
  <colors>
    <mruColors>
      <color rgb="FF000000"/>
      <color rgb="FFFF0000"/>
      <color rgb="FFFFFFFF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U59"/>
  <sheetViews>
    <sheetView tabSelected="1" zoomScale="40" zoomScaleNormal="40" workbookViewId="0">
      <pane xSplit="2" ySplit="4" topLeftCell="C5" activePane="bottomRight" state="frozen"/>
      <selection pane="topRight"/>
      <selection pane="bottomLeft"/>
      <selection pane="bottomRight" activeCell="M5" sqref="M5"/>
    </sheetView>
  </sheetViews>
  <sheetFormatPr defaultColWidth="10" defaultRowHeight="44.15" customHeight="1" x14ac:dyDescent="0.25"/>
  <cols>
    <col min="1" max="1" width="10" style="26" customWidth="1"/>
    <col min="2" max="2" width="15.5" style="27" customWidth="1"/>
    <col min="3" max="3" width="17.4140625" style="27" customWidth="1"/>
    <col min="4" max="4" width="16.9140625" style="28" customWidth="1"/>
    <col min="5" max="5" width="17.1640625" style="27" customWidth="1"/>
    <col min="6" max="6" width="13.9140625" style="27" customWidth="1"/>
    <col min="7" max="7" width="12.58203125" style="27" customWidth="1"/>
    <col min="8" max="8" width="14.9140625" style="27" customWidth="1"/>
    <col min="9" max="9" width="14.4140625" style="27" customWidth="1"/>
    <col min="10" max="12" width="12.58203125" style="27" customWidth="1"/>
    <col min="13" max="13" width="17.1640625" style="27" customWidth="1"/>
    <col min="14" max="14" width="16.4140625" style="27" customWidth="1"/>
    <col min="15" max="17" width="10" style="29" customWidth="1"/>
    <col min="18" max="18" width="12.33203125" style="29" customWidth="1"/>
    <col min="19" max="19" width="10" style="29" customWidth="1"/>
    <col min="20" max="21" width="12.08203125" style="29" customWidth="1"/>
    <col min="22" max="22" width="10" style="29" customWidth="1"/>
    <col min="23" max="23" width="12" style="29" customWidth="1"/>
    <col min="24" max="25" width="10" style="29" customWidth="1"/>
    <col min="26" max="26" width="10.9140625" style="29" customWidth="1"/>
    <col min="27" max="27" width="10" style="29" customWidth="1"/>
    <col min="28" max="28" width="11.1640625" style="29" customWidth="1"/>
    <col min="29" max="29" width="11.58203125" style="29" customWidth="1"/>
    <col min="30" max="30" width="10" style="29" customWidth="1"/>
    <col min="31" max="31" width="11.5" style="29" customWidth="1"/>
    <col min="32" max="32" width="10.58203125" style="29" customWidth="1"/>
    <col min="33" max="33" width="11.4140625" style="29" customWidth="1"/>
    <col min="34" max="35" width="10" style="29" customWidth="1"/>
    <col min="36" max="36" width="11.58203125" style="29" customWidth="1"/>
    <col min="37" max="37" width="11.6640625" style="29" customWidth="1"/>
    <col min="38" max="38" width="10" style="29" customWidth="1"/>
    <col min="39" max="39" width="12.08203125" style="29" customWidth="1"/>
    <col min="40" max="40" width="10.9140625" style="29" customWidth="1"/>
    <col min="41" max="44" width="10" style="29" customWidth="1"/>
    <col min="45" max="45" width="26" style="27" customWidth="1"/>
    <col min="46" max="16380" width="10" style="27" customWidth="1"/>
    <col min="16381" max="16384" width="10" style="27"/>
  </cols>
  <sheetData>
    <row r="1" spans="1:47" ht="81" customHeight="1" x14ac:dyDescent="0.25">
      <c r="A1" s="51" t="s">
        <v>146</v>
      </c>
      <c r="B1" s="51"/>
      <c r="C1" s="51"/>
      <c r="D1" s="52"/>
      <c r="E1" s="51"/>
      <c r="F1" s="51"/>
      <c r="G1" s="51"/>
      <c r="H1" s="51"/>
      <c r="I1" s="51"/>
      <c r="J1" s="51"/>
      <c r="K1" s="51"/>
      <c r="L1" s="51"/>
      <c r="M1" s="51"/>
      <c r="N1" s="51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1"/>
    </row>
    <row r="2" spans="1:47" ht="44.15" customHeight="1" x14ac:dyDescent="0.25">
      <c r="A2" s="49" t="s">
        <v>0</v>
      </c>
      <c r="B2" s="49" t="s">
        <v>1</v>
      </c>
      <c r="C2" s="49" t="s">
        <v>2</v>
      </c>
      <c r="D2" s="55" t="s">
        <v>3</v>
      </c>
      <c r="E2" s="49" t="s">
        <v>4</v>
      </c>
      <c r="F2" s="49" t="s">
        <v>5</v>
      </c>
      <c r="G2" s="49" t="s">
        <v>6</v>
      </c>
      <c r="H2" s="49" t="s">
        <v>7</v>
      </c>
      <c r="I2" s="49" t="s">
        <v>8</v>
      </c>
      <c r="J2" s="49" t="s">
        <v>9</v>
      </c>
      <c r="K2" s="49" t="s">
        <v>10</v>
      </c>
      <c r="L2" s="49" t="s">
        <v>11</v>
      </c>
      <c r="M2" s="49" t="s">
        <v>12</v>
      </c>
      <c r="N2" s="49" t="s">
        <v>13</v>
      </c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 t="s">
        <v>14</v>
      </c>
    </row>
    <row r="3" spans="1:47" ht="44.15" customHeight="1" x14ac:dyDescent="0.25">
      <c r="A3" s="49"/>
      <c r="B3" s="49"/>
      <c r="C3" s="49"/>
      <c r="D3" s="55"/>
      <c r="E3" s="49"/>
      <c r="F3" s="49"/>
      <c r="G3" s="49"/>
      <c r="H3" s="49"/>
      <c r="I3" s="49"/>
      <c r="J3" s="49"/>
      <c r="K3" s="49"/>
      <c r="L3" s="49"/>
      <c r="M3" s="49"/>
      <c r="N3" s="49"/>
      <c r="O3" s="7">
        <v>26</v>
      </c>
      <c r="P3" s="7">
        <v>27</v>
      </c>
      <c r="Q3" s="7">
        <v>28</v>
      </c>
      <c r="R3" s="7">
        <v>29</v>
      </c>
      <c r="S3" s="7">
        <v>30</v>
      </c>
      <c r="T3" s="7">
        <v>1</v>
      </c>
      <c r="U3" s="7">
        <v>2</v>
      </c>
      <c r="V3" s="7">
        <v>3</v>
      </c>
      <c r="W3" s="7">
        <v>4</v>
      </c>
      <c r="X3" s="7">
        <v>5</v>
      </c>
      <c r="Y3" s="7">
        <v>6</v>
      </c>
      <c r="Z3" s="7">
        <v>7</v>
      </c>
      <c r="AA3" s="7">
        <v>8</v>
      </c>
      <c r="AB3" s="7">
        <v>9</v>
      </c>
      <c r="AC3" s="7">
        <v>10</v>
      </c>
      <c r="AD3" s="7">
        <v>11</v>
      </c>
      <c r="AE3" s="7">
        <v>12</v>
      </c>
      <c r="AF3" s="7">
        <v>13</v>
      </c>
      <c r="AG3" s="7">
        <v>14</v>
      </c>
      <c r="AH3" s="7">
        <v>15</v>
      </c>
      <c r="AI3" s="7">
        <v>16</v>
      </c>
      <c r="AJ3" s="7">
        <v>17</v>
      </c>
      <c r="AK3" s="7">
        <v>18</v>
      </c>
      <c r="AL3" s="7">
        <v>19</v>
      </c>
      <c r="AM3" s="7">
        <v>20</v>
      </c>
      <c r="AN3" s="7">
        <v>21</v>
      </c>
      <c r="AO3" s="7">
        <v>22</v>
      </c>
      <c r="AP3" s="7">
        <v>23</v>
      </c>
      <c r="AQ3" s="7">
        <v>24</v>
      </c>
      <c r="AR3" s="7">
        <v>25</v>
      </c>
      <c r="AS3" s="49"/>
    </row>
    <row r="4" spans="1:47" s="22" customFormat="1" ht="44.15" customHeight="1" x14ac:dyDescent="0.25">
      <c r="A4" s="49"/>
      <c r="B4" s="7" t="s">
        <v>15</v>
      </c>
      <c r="C4" s="49"/>
      <c r="D4" s="55"/>
      <c r="E4" s="49"/>
      <c r="F4" s="49"/>
      <c r="G4" s="49"/>
      <c r="H4" s="49"/>
      <c r="I4" s="49"/>
      <c r="J4" s="49"/>
      <c r="K4" s="49"/>
      <c r="L4" s="49"/>
      <c r="M4" s="49"/>
      <c r="N4" s="49"/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  <c r="T4" s="7" t="s">
        <v>21</v>
      </c>
      <c r="U4" s="7" t="s">
        <v>22</v>
      </c>
      <c r="V4" s="7" t="s">
        <v>16</v>
      </c>
      <c r="W4" s="7" t="s">
        <v>17</v>
      </c>
      <c r="X4" s="7" t="s">
        <v>18</v>
      </c>
      <c r="Y4" s="7" t="s">
        <v>19</v>
      </c>
      <c r="Z4" s="7" t="s">
        <v>20</v>
      </c>
      <c r="AA4" s="7" t="s">
        <v>21</v>
      </c>
      <c r="AB4" s="7" t="s">
        <v>22</v>
      </c>
      <c r="AC4" s="7" t="s">
        <v>16</v>
      </c>
      <c r="AD4" s="7" t="s">
        <v>17</v>
      </c>
      <c r="AE4" s="7" t="s">
        <v>18</v>
      </c>
      <c r="AF4" s="7" t="s">
        <v>19</v>
      </c>
      <c r="AG4" s="7" t="s">
        <v>20</v>
      </c>
      <c r="AH4" s="7" t="s">
        <v>21</v>
      </c>
      <c r="AI4" s="7" t="s">
        <v>22</v>
      </c>
      <c r="AJ4" s="7" t="s">
        <v>16</v>
      </c>
      <c r="AK4" s="7" t="s">
        <v>17</v>
      </c>
      <c r="AL4" s="7" t="s">
        <v>18</v>
      </c>
      <c r="AM4" s="7" t="s">
        <v>19</v>
      </c>
      <c r="AN4" s="7" t="s">
        <v>20</v>
      </c>
      <c r="AO4" s="7" t="s">
        <v>21</v>
      </c>
      <c r="AP4" s="7" t="s">
        <v>22</v>
      </c>
      <c r="AQ4" s="7" t="s">
        <v>16</v>
      </c>
      <c r="AR4" s="7" t="s">
        <v>17</v>
      </c>
      <c r="AS4" s="49"/>
    </row>
    <row r="5" spans="1:47" s="23" customFormat="1" ht="84.65" customHeight="1" x14ac:dyDescent="0.25">
      <c r="A5" s="8">
        <f>ROW(A2)-1</f>
        <v>1</v>
      </c>
      <c r="B5" s="8" t="s">
        <v>23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>
        <v>0</v>
      </c>
      <c r="O5" s="9"/>
      <c r="P5" s="9"/>
      <c r="Q5" s="9"/>
      <c r="R5" s="9"/>
      <c r="S5" s="9"/>
      <c r="T5" s="9"/>
      <c r="U5" s="9"/>
      <c r="V5" s="30"/>
      <c r="W5" s="30"/>
      <c r="X5" s="30"/>
      <c r="Y5" s="30"/>
      <c r="Z5" s="30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46"/>
      <c r="AQ5" s="9"/>
      <c r="AR5" s="9"/>
      <c r="AS5" s="8" t="s">
        <v>24</v>
      </c>
      <c r="AT5" s="31"/>
      <c r="AU5" s="31"/>
    </row>
    <row r="6" spans="1:47" s="23" customFormat="1" ht="77" customHeight="1" x14ac:dyDescent="0.25">
      <c r="A6" s="8">
        <f t="shared" ref="A6:A41" si="0">ROW(A3)-1</f>
        <v>2</v>
      </c>
      <c r="B6" s="8" t="s">
        <v>25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>
        <v>0</v>
      </c>
      <c r="O6" s="9"/>
      <c r="P6" s="9"/>
      <c r="Q6" s="9"/>
      <c r="R6" s="9"/>
      <c r="S6" s="9"/>
      <c r="T6" s="9"/>
      <c r="U6" s="9"/>
      <c r="V6" s="30"/>
      <c r="W6" s="30"/>
      <c r="X6" s="9"/>
      <c r="Y6" s="9"/>
      <c r="Z6" s="30"/>
      <c r="AA6" s="30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8" t="s">
        <v>26</v>
      </c>
      <c r="AT6" s="31"/>
      <c r="AU6" s="31"/>
    </row>
    <row r="7" spans="1:47" s="23" customFormat="1" ht="77" customHeight="1" x14ac:dyDescent="0.25">
      <c r="A7" s="8">
        <f t="shared" si="0"/>
        <v>3</v>
      </c>
      <c r="B7" s="8" t="s">
        <v>27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>
        <v>0</v>
      </c>
      <c r="O7" s="9"/>
      <c r="P7" s="9"/>
      <c r="Q7" s="9"/>
      <c r="R7" s="9"/>
      <c r="S7" s="9"/>
      <c r="T7" s="9"/>
      <c r="U7" s="9"/>
      <c r="V7" s="30"/>
      <c r="W7" s="30"/>
      <c r="X7" s="30"/>
      <c r="Y7" s="30"/>
      <c r="Z7" s="30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8" t="s">
        <v>28</v>
      </c>
      <c r="AT7" s="31"/>
      <c r="AU7" s="31"/>
    </row>
    <row r="8" spans="1:47" s="23" customFormat="1" ht="77" customHeight="1" x14ac:dyDescent="0.25">
      <c r="A8" s="8">
        <f t="shared" si="0"/>
        <v>4</v>
      </c>
      <c r="B8" s="8" t="s">
        <v>29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>
        <v>2.5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45"/>
      <c r="AQ8" s="9"/>
      <c r="AR8" s="9"/>
      <c r="AS8" s="8" t="s">
        <v>30</v>
      </c>
      <c r="AT8" s="31"/>
      <c r="AU8" s="31"/>
    </row>
    <row r="9" spans="1:47" s="23" customFormat="1" ht="77" customHeight="1" x14ac:dyDescent="0.25">
      <c r="A9" s="8">
        <f t="shared" si="0"/>
        <v>5</v>
      </c>
      <c r="B9" s="32" t="s">
        <v>31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>
        <v>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8" t="s">
        <v>32</v>
      </c>
      <c r="AT9" s="31"/>
      <c r="AU9" s="31"/>
    </row>
    <row r="10" spans="1:47" s="23" customFormat="1" ht="77" customHeight="1" x14ac:dyDescent="0.25">
      <c r="A10" s="8">
        <f t="shared" si="0"/>
        <v>6</v>
      </c>
      <c r="B10" s="32" t="s">
        <v>33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>
        <v>6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8" t="s">
        <v>34</v>
      </c>
      <c r="AT10" s="31"/>
      <c r="AU10" s="31"/>
    </row>
    <row r="11" spans="1:47" s="23" customFormat="1" ht="77" customHeight="1" x14ac:dyDescent="0.25">
      <c r="A11" s="8">
        <f t="shared" si="0"/>
        <v>7</v>
      </c>
      <c r="B11" s="32" t="s">
        <v>35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>
        <v>16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 t="s">
        <v>36</v>
      </c>
      <c r="AT11" s="31"/>
      <c r="AU11" s="31"/>
    </row>
    <row r="12" spans="1:47" s="23" customFormat="1" ht="77" customHeight="1" x14ac:dyDescent="0.25">
      <c r="A12" s="8">
        <f t="shared" si="0"/>
        <v>8</v>
      </c>
      <c r="B12" s="32" t="s">
        <v>37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>
        <v>5.5</v>
      </c>
      <c r="O12" s="9"/>
      <c r="P12" s="9"/>
      <c r="Q12" s="9"/>
      <c r="R12" s="9"/>
      <c r="S12" s="9"/>
      <c r="T12" s="9"/>
      <c r="U12" s="9"/>
      <c r="V12" s="30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45"/>
      <c r="AO12" s="9"/>
      <c r="AP12" s="9"/>
      <c r="AQ12" s="9"/>
      <c r="AR12" s="9"/>
      <c r="AS12" s="9" t="s">
        <v>38</v>
      </c>
      <c r="AT12" s="31"/>
      <c r="AU12" s="31"/>
    </row>
    <row r="13" spans="1:47" s="24" customFormat="1" ht="77" customHeight="1" x14ac:dyDescent="0.25">
      <c r="A13" s="8">
        <f t="shared" si="0"/>
        <v>9</v>
      </c>
      <c r="B13" s="33" t="s">
        <v>39</v>
      </c>
      <c r="C13" s="8"/>
      <c r="D13" s="8"/>
      <c r="E13" s="8"/>
      <c r="F13" s="9"/>
      <c r="G13" s="8"/>
      <c r="H13" s="8"/>
      <c r="I13" s="8"/>
      <c r="J13" s="8"/>
      <c r="K13" s="8"/>
      <c r="L13" s="8"/>
      <c r="M13" s="8"/>
      <c r="N13" s="9">
        <v>0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 t="s">
        <v>40</v>
      </c>
      <c r="AT13" s="31"/>
      <c r="AU13" s="31"/>
    </row>
    <row r="14" spans="1:47" s="23" customFormat="1" ht="77" customHeight="1" x14ac:dyDescent="0.25">
      <c r="A14" s="8">
        <f t="shared" si="0"/>
        <v>10</v>
      </c>
      <c r="B14" s="32" t="s">
        <v>41</v>
      </c>
      <c r="C14" s="8"/>
      <c r="D14" s="8"/>
      <c r="E14" s="8"/>
      <c r="F14" s="9"/>
      <c r="G14" s="8"/>
      <c r="H14" s="8"/>
      <c r="I14" s="8"/>
      <c r="J14" s="8"/>
      <c r="K14" s="8"/>
      <c r="L14" s="8"/>
      <c r="M14" s="8"/>
      <c r="N14" s="9">
        <v>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 t="s">
        <v>42</v>
      </c>
      <c r="AT14" s="31"/>
      <c r="AU14" s="31"/>
    </row>
    <row r="15" spans="1:47" s="23" customFormat="1" ht="123" customHeight="1" x14ac:dyDescent="0.25">
      <c r="A15" s="8">
        <f t="shared" si="0"/>
        <v>11</v>
      </c>
      <c r="B15" s="8" t="s">
        <v>43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18.5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34" t="s">
        <v>44</v>
      </c>
      <c r="AT15" s="31"/>
    </row>
    <row r="16" spans="1:47" ht="123" customHeight="1" x14ac:dyDescent="0.25">
      <c r="A16" s="8">
        <f t="shared" si="0"/>
        <v>12</v>
      </c>
      <c r="B16" s="8" t="s">
        <v>45</v>
      </c>
      <c r="C16" s="8"/>
      <c r="D16" s="8"/>
      <c r="E16" s="8"/>
      <c r="F16" s="32"/>
      <c r="G16" s="8"/>
      <c r="H16" s="8"/>
      <c r="I16" s="8"/>
      <c r="J16" s="8"/>
      <c r="K16" s="8"/>
      <c r="L16" s="8"/>
      <c r="M16" s="8"/>
      <c r="N16" s="8">
        <v>21.5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45"/>
      <c r="AQ16" s="9"/>
      <c r="AR16" s="9"/>
      <c r="AS16" s="35" t="s">
        <v>24</v>
      </c>
      <c r="AT16" s="31"/>
    </row>
    <row r="17" spans="1:47" s="23" customFormat="1" ht="123" customHeight="1" x14ac:dyDescent="0.25">
      <c r="A17" s="8">
        <f t="shared" si="0"/>
        <v>13</v>
      </c>
      <c r="B17" s="32" t="s">
        <v>46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>
        <v>29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36" t="s">
        <v>47</v>
      </c>
      <c r="AT17" s="31"/>
    </row>
    <row r="18" spans="1:47" s="23" customFormat="1" ht="123" customHeight="1" x14ac:dyDescent="0.25">
      <c r="A18" s="8">
        <f t="shared" si="0"/>
        <v>14</v>
      </c>
      <c r="B18" s="32" t="s">
        <v>48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>
        <v>8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37"/>
      <c r="AI18" s="9"/>
      <c r="AJ18" s="9"/>
      <c r="AK18" s="9"/>
      <c r="AL18" s="9"/>
      <c r="AM18" s="9"/>
      <c r="AN18" s="9"/>
      <c r="AO18" s="37"/>
      <c r="AP18" s="9"/>
      <c r="AQ18" s="9"/>
      <c r="AR18" s="9"/>
      <c r="AS18" s="9" t="s">
        <v>49</v>
      </c>
      <c r="AT18" s="31"/>
    </row>
    <row r="19" spans="1:47" s="23" customFormat="1" ht="123" customHeight="1" x14ac:dyDescent="0.25">
      <c r="A19" s="8">
        <f t="shared" si="0"/>
        <v>15</v>
      </c>
      <c r="B19" s="32" t="s">
        <v>50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>
        <v>9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 t="s">
        <v>49</v>
      </c>
      <c r="AT19" s="31"/>
    </row>
    <row r="20" spans="1:47" s="23" customFormat="1" ht="123" customHeight="1" x14ac:dyDescent="0.25">
      <c r="A20" s="8">
        <f t="shared" si="0"/>
        <v>16</v>
      </c>
      <c r="B20" s="32" t="s">
        <v>51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>
        <v>2</v>
      </c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37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 t="s">
        <v>52</v>
      </c>
      <c r="AT20" s="31"/>
    </row>
    <row r="21" spans="1:47" s="23" customFormat="1" ht="104" customHeight="1" x14ac:dyDescent="0.25">
      <c r="A21" s="8">
        <f t="shared" si="0"/>
        <v>17</v>
      </c>
      <c r="B21" s="32" t="s">
        <v>53</v>
      </c>
      <c r="C21" s="8"/>
      <c r="D21" s="8"/>
      <c r="E21" s="38"/>
      <c r="F21" s="38"/>
      <c r="G21" s="8"/>
      <c r="H21" s="8"/>
      <c r="I21" s="8"/>
      <c r="J21" s="8"/>
      <c r="K21" s="8"/>
      <c r="L21" s="8"/>
      <c r="M21" s="8"/>
      <c r="N21" s="8">
        <v>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36" t="s">
        <v>54</v>
      </c>
      <c r="AT21" s="31"/>
    </row>
    <row r="22" spans="1:47" s="23" customFormat="1" ht="77" customHeight="1" x14ac:dyDescent="0.25">
      <c r="A22" s="8">
        <f t="shared" si="0"/>
        <v>18</v>
      </c>
      <c r="B22" s="32" t="s">
        <v>55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>
        <v>1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8" t="s">
        <v>56</v>
      </c>
      <c r="AT22" s="31"/>
      <c r="AU22" s="31"/>
    </row>
    <row r="23" spans="1:47" s="23" customFormat="1" ht="77" customHeight="1" x14ac:dyDescent="0.25">
      <c r="A23" s="8">
        <f t="shared" si="0"/>
        <v>19</v>
      </c>
      <c r="B23" s="32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>
        <v>5.5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45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8" t="s">
        <v>58</v>
      </c>
      <c r="AT23" s="31"/>
      <c r="AU23" s="31"/>
    </row>
    <row r="24" spans="1:47" s="23" customFormat="1" ht="104" customHeight="1" x14ac:dyDescent="0.25">
      <c r="A24" s="8">
        <f t="shared" si="0"/>
        <v>20</v>
      </c>
      <c r="B24" s="32" t="s">
        <v>59</v>
      </c>
      <c r="C24" s="8"/>
      <c r="D24" s="8"/>
      <c r="E24" s="8"/>
      <c r="F24" s="38"/>
      <c r="G24" s="8"/>
      <c r="H24" s="8"/>
      <c r="I24" s="8"/>
      <c r="J24" s="8"/>
      <c r="K24" s="8"/>
      <c r="L24" s="8"/>
      <c r="M24" s="8"/>
      <c r="N24" s="8">
        <v>0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 t="s">
        <v>60</v>
      </c>
      <c r="AT24" s="31"/>
    </row>
    <row r="25" spans="1:47" s="23" customFormat="1" ht="104" customHeight="1" x14ac:dyDescent="0.25">
      <c r="A25" s="8">
        <f t="shared" si="0"/>
        <v>21</v>
      </c>
      <c r="B25" s="32" t="s">
        <v>61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>
        <v>20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45"/>
      <c r="AN25" s="9"/>
      <c r="AO25" s="9"/>
      <c r="AP25" s="9"/>
      <c r="AQ25" s="9"/>
      <c r="AR25" s="9"/>
      <c r="AS25" s="36" t="s">
        <v>62</v>
      </c>
      <c r="AT25" s="31"/>
    </row>
    <row r="26" spans="1:47" s="23" customFormat="1" ht="104" customHeight="1" x14ac:dyDescent="0.25">
      <c r="A26" s="8">
        <f t="shared" si="0"/>
        <v>22</v>
      </c>
      <c r="B26" s="32" t="s">
        <v>63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>
        <v>21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45"/>
      <c r="AN26" s="9"/>
      <c r="AO26" s="9"/>
      <c r="AP26" s="9"/>
      <c r="AQ26" s="9"/>
      <c r="AR26" s="9"/>
      <c r="AS26" s="9" t="s">
        <v>64</v>
      </c>
      <c r="AT26" s="31"/>
      <c r="AU26" s="31"/>
    </row>
    <row r="27" spans="1:47" s="23" customFormat="1" ht="104" customHeight="1" x14ac:dyDescent="0.25">
      <c r="A27" s="8">
        <f t="shared" si="0"/>
        <v>23</v>
      </c>
      <c r="B27" s="39" t="s">
        <v>65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20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36" t="s">
        <v>66</v>
      </c>
      <c r="AT27" s="31"/>
    </row>
    <row r="28" spans="1:47" s="23" customFormat="1" ht="104" customHeight="1" x14ac:dyDescent="0.25">
      <c r="A28" s="8">
        <f t="shared" si="0"/>
        <v>24</v>
      </c>
      <c r="B28" s="32" t="s">
        <v>67</v>
      </c>
      <c r="C28" s="8"/>
      <c r="D28" s="8"/>
      <c r="E28" s="38"/>
      <c r="F28" s="8"/>
      <c r="G28" s="8"/>
      <c r="H28" s="8"/>
      <c r="I28" s="8"/>
      <c r="J28" s="8"/>
      <c r="K28" s="8"/>
      <c r="L28" s="8"/>
      <c r="M28" s="8"/>
      <c r="N28" s="8">
        <v>22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 t="s">
        <v>68</v>
      </c>
      <c r="AT28" s="31"/>
      <c r="AU28" s="31"/>
    </row>
    <row r="29" spans="1:47" s="23" customFormat="1" ht="104" customHeight="1" x14ac:dyDescent="0.25">
      <c r="A29" s="8">
        <f t="shared" si="0"/>
        <v>25</v>
      </c>
      <c r="B29" s="32" t="s">
        <v>69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>
        <v>17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36" t="s">
        <v>70</v>
      </c>
      <c r="AT29" s="31"/>
    </row>
    <row r="30" spans="1:47" s="23" customFormat="1" ht="104" customHeight="1" x14ac:dyDescent="0.25">
      <c r="A30" s="8">
        <f t="shared" si="0"/>
        <v>26</v>
      </c>
      <c r="B30" s="32" t="s">
        <v>71</v>
      </c>
      <c r="C30" s="8"/>
      <c r="D30" s="8"/>
      <c r="E30" s="8"/>
      <c r="F30" s="32"/>
      <c r="G30" s="8"/>
      <c r="H30" s="8"/>
      <c r="I30" s="8"/>
      <c r="J30" s="8"/>
      <c r="K30" s="8"/>
      <c r="L30" s="8"/>
      <c r="M30" s="8"/>
      <c r="N30" s="8">
        <v>9</v>
      </c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8" t="s">
        <v>72</v>
      </c>
      <c r="AT30" s="31"/>
    </row>
    <row r="31" spans="1:47" s="23" customFormat="1" ht="104" customHeight="1" x14ac:dyDescent="0.25">
      <c r="A31" s="8">
        <f t="shared" si="0"/>
        <v>27</v>
      </c>
      <c r="B31" s="32" t="s">
        <v>73</v>
      </c>
      <c r="C31" s="8"/>
      <c r="D31" s="8"/>
      <c r="E31" s="8"/>
      <c r="F31" s="32"/>
      <c r="G31" s="8"/>
      <c r="H31" s="8"/>
      <c r="I31" s="8"/>
      <c r="J31" s="8"/>
      <c r="K31" s="8"/>
      <c r="L31" s="8"/>
      <c r="M31" s="8"/>
      <c r="N31" s="8">
        <v>26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8" t="s">
        <v>74</v>
      </c>
      <c r="AT31" s="31"/>
    </row>
    <row r="32" spans="1:47" s="23" customFormat="1" ht="104" customHeight="1" x14ac:dyDescent="0.25">
      <c r="A32" s="8">
        <f t="shared" si="0"/>
        <v>28</v>
      </c>
      <c r="B32" s="32" t="s">
        <v>75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>
        <v>8.5</v>
      </c>
      <c r="O32" s="9"/>
      <c r="P32" s="9"/>
      <c r="Q32" s="9"/>
      <c r="R32" s="9"/>
      <c r="S32" s="9"/>
      <c r="T32" s="45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 t="s">
        <v>76</v>
      </c>
      <c r="AT32" s="31"/>
      <c r="AU32" s="31"/>
    </row>
    <row r="33" spans="1:47" s="23" customFormat="1" ht="102" customHeight="1" x14ac:dyDescent="0.25">
      <c r="A33" s="8">
        <f t="shared" si="0"/>
        <v>29</v>
      </c>
      <c r="B33" s="8" t="s">
        <v>77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>
        <v>18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 t="s">
        <v>78</v>
      </c>
      <c r="AT33" s="31"/>
    </row>
    <row r="34" spans="1:47" s="23" customFormat="1" ht="104" customHeight="1" x14ac:dyDescent="0.25">
      <c r="A34" s="8">
        <f t="shared" si="0"/>
        <v>30</v>
      </c>
      <c r="B34" s="32" t="s">
        <v>79</v>
      </c>
      <c r="C34" s="8"/>
      <c r="D34" s="8"/>
      <c r="E34" s="8"/>
      <c r="F34" s="32"/>
      <c r="G34" s="8"/>
      <c r="H34" s="8"/>
      <c r="I34" s="8"/>
      <c r="J34" s="8"/>
      <c r="K34" s="8"/>
      <c r="L34" s="8"/>
      <c r="M34" s="8"/>
      <c r="N34" s="8">
        <v>16.5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8" t="s">
        <v>52</v>
      </c>
      <c r="AT34" s="31"/>
    </row>
    <row r="35" spans="1:47" s="23" customFormat="1" ht="104" customHeight="1" x14ac:dyDescent="0.25">
      <c r="A35" s="8">
        <f t="shared" si="0"/>
        <v>31</v>
      </c>
      <c r="B35" s="32" t="s">
        <v>80</v>
      </c>
      <c r="C35" s="8"/>
      <c r="D35" s="8"/>
      <c r="E35" s="8"/>
      <c r="F35" s="32"/>
      <c r="G35" s="8"/>
      <c r="H35" s="8"/>
      <c r="I35" s="8"/>
      <c r="J35" s="8"/>
      <c r="K35" s="8"/>
      <c r="L35" s="8"/>
      <c r="M35" s="8"/>
      <c r="N35" s="8">
        <v>13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8" t="s">
        <v>81</v>
      </c>
      <c r="AT35" s="31"/>
    </row>
    <row r="36" spans="1:47" s="23" customFormat="1" ht="104" customHeight="1" x14ac:dyDescent="0.25">
      <c r="A36" s="8">
        <f t="shared" si="0"/>
        <v>32</v>
      </c>
      <c r="B36" s="32" t="s">
        <v>82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>
        <v>0.5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8" t="s">
        <v>83</v>
      </c>
      <c r="AT36" s="31"/>
      <c r="AU36" s="31"/>
    </row>
    <row r="37" spans="1:47" s="25" customFormat="1" ht="104" customHeight="1" x14ac:dyDescent="0.25">
      <c r="A37" s="8">
        <f t="shared" si="0"/>
        <v>33</v>
      </c>
      <c r="B37" s="32" t="s">
        <v>84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>
        <v>15</v>
      </c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8" t="s">
        <v>85</v>
      </c>
      <c r="AT37" s="31"/>
    </row>
    <row r="38" spans="1:47" s="25" customFormat="1" ht="104" customHeight="1" x14ac:dyDescent="0.25">
      <c r="A38" s="8">
        <f t="shared" si="0"/>
        <v>34</v>
      </c>
      <c r="B38" s="32" t="s">
        <v>86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>
        <v>12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 t="s">
        <v>87</v>
      </c>
      <c r="AT38" s="31"/>
    </row>
    <row r="39" spans="1:47" s="25" customFormat="1" ht="104" customHeight="1" x14ac:dyDescent="0.25">
      <c r="A39" s="8">
        <f t="shared" si="0"/>
        <v>35</v>
      </c>
      <c r="B39" s="32" t="s">
        <v>88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0</v>
      </c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8" t="s">
        <v>89</v>
      </c>
      <c r="AT39" s="31"/>
    </row>
    <row r="40" spans="1:47" s="23" customFormat="1" ht="104" customHeight="1" x14ac:dyDescent="0.25">
      <c r="A40" s="8">
        <f t="shared" si="0"/>
        <v>36</v>
      </c>
      <c r="B40" s="32" t="s">
        <v>90</v>
      </c>
      <c r="C40" s="8"/>
      <c r="D40" s="8"/>
      <c r="E40" s="8"/>
      <c r="F40" s="32"/>
      <c r="G40" s="8"/>
      <c r="H40" s="8"/>
      <c r="I40" s="8"/>
      <c r="J40" s="8"/>
      <c r="K40" s="8"/>
      <c r="L40" s="8"/>
      <c r="M40" s="8"/>
      <c r="N40" s="8">
        <v>5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8" t="s">
        <v>91</v>
      </c>
      <c r="AT40" s="31"/>
    </row>
    <row r="41" spans="1:47" s="23" customFormat="1" ht="104" customHeight="1" x14ac:dyDescent="0.25">
      <c r="A41" s="8">
        <f t="shared" si="0"/>
        <v>37</v>
      </c>
      <c r="B41" s="32" t="s">
        <v>92</v>
      </c>
      <c r="C41" s="8"/>
      <c r="D41" s="8"/>
      <c r="E41" s="8"/>
      <c r="F41" s="32"/>
      <c r="G41" s="8"/>
      <c r="H41" s="8"/>
      <c r="I41" s="8"/>
      <c r="J41" s="8"/>
      <c r="K41" s="8"/>
      <c r="L41" s="8"/>
      <c r="M41" s="8"/>
      <c r="N41" s="8">
        <v>4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8" t="s">
        <v>93</v>
      </c>
      <c r="AT41" s="31"/>
    </row>
    <row r="42" spans="1:47" s="25" customFormat="1" ht="70.25" customHeight="1" x14ac:dyDescent="0.25">
      <c r="A42" s="54" t="s">
        <v>94</v>
      </c>
      <c r="B42" s="54"/>
      <c r="C42" s="40">
        <f t="shared" ref="C42:N42" si="1">SUM(C5:C41)</f>
        <v>0</v>
      </c>
      <c r="D42" s="40">
        <f t="shared" si="1"/>
        <v>0</v>
      </c>
      <c r="E42" s="40">
        <f t="shared" si="1"/>
        <v>0</v>
      </c>
      <c r="F42" s="40">
        <f t="shared" si="1"/>
        <v>0</v>
      </c>
      <c r="G42" s="40">
        <f t="shared" si="1"/>
        <v>0</v>
      </c>
      <c r="H42" s="40">
        <f t="shared" si="1"/>
        <v>0</v>
      </c>
      <c r="I42" s="40">
        <f t="shared" si="1"/>
        <v>0</v>
      </c>
      <c r="J42" s="40">
        <f t="shared" si="1"/>
        <v>0</v>
      </c>
      <c r="K42" s="40">
        <f t="shared" si="1"/>
        <v>0</v>
      </c>
      <c r="L42" s="40">
        <f t="shared" si="1"/>
        <v>0</v>
      </c>
      <c r="M42" s="40">
        <f t="shared" si="1"/>
        <v>0</v>
      </c>
      <c r="N42" s="40">
        <f t="shared" si="1"/>
        <v>360</v>
      </c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31"/>
    </row>
    <row r="43" spans="1:47" s="25" customFormat="1" ht="44.15" customHeight="1" x14ac:dyDescent="0.25">
      <c r="A43" s="50" t="s">
        <v>147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31"/>
    </row>
    <row r="44" spans="1:47" s="25" customFormat="1" ht="44.15" customHeight="1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31"/>
    </row>
    <row r="45" spans="1:47" ht="44.15" customHeight="1" x14ac:dyDescent="0.25">
      <c r="A45" s="41"/>
      <c r="B45" s="41"/>
      <c r="C45" s="41"/>
      <c r="D45" s="42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1"/>
      <c r="AT45" s="31"/>
    </row>
    <row r="53" spans="1:44" s="25" customFormat="1" ht="44.15" customHeight="1" x14ac:dyDescent="0.25">
      <c r="A53" s="26"/>
      <c r="C53" s="27"/>
      <c r="D53" s="28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</row>
    <row r="54" spans="1:44" s="25" customFormat="1" ht="44.15" customHeight="1" x14ac:dyDescent="0.25">
      <c r="A54" s="26"/>
      <c r="C54" s="27"/>
      <c r="D54" s="28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</row>
    <row r="55" spans="1:44" s="25" customFormat="1" ht="44.15" customHeight="1" x14ac:dyDescent="0.25">
      <c r="A55" s="26"/>
      <c r="C55" s="27"/>
      <c r="D55" s="28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</row>
    <row r="56" spans="1:44" s="25" customFormat="1" ht="44.15" customHeight="1" x14ac:dyDescent="0.25">
      <c r="A56" s="26"/>
      <c r="C56" s="27"/>
      <c r="D56" s="28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</row>
    <row r="57" spans="1:44" s="25" customFormat="1" ht="44.15" customHeight="1" x14ac:dyDescent="0.25">
      <c r="A57" s="26"/>
      <c r="C57" s="27"/>
      <c r="D57" s="28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</row>
    <row r="58" spans="1:44" s="25" customFormat="1" ht="44.15" customHeight="1" x14ac:dyDescent="0.25">
      <c r="A58" s="26"/>
      <c r="C58" s="27"/>
      <c r="D58" s="28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</row>
    <row r="59" spans="1:44" s="25" customFormat="1" ht="44.15" customHeight="1" x14ac:dyDescent="0.25">
      <c r="A59" s="26"/>
      <c r="C59" s="27"/>
      <c r="D59" s="28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</row>
  </sheetData>
  <mergeCells count="19">
    <mergeCell ref="AS2:AS4"/>
    <mergeCell ref="A43:AS44"/>
    <mergeCell ref="A1:AS1"/>
    <mergeCell ref="O2:AR2"/>
    <mergeCell ref="A42:B42"/>
    <mergeCell ref="A2:A4"/>
    <mergeCell ref="B2:B3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  <mergeCell ref="M2:M4"/>
    <mergeCell ref="N2:N4"/>
  </mergeCells>
  <phoneticPr fontId="18" type="noConversion"/>
  <pageMargins left="0.98402777777777795" right="0.196527777777778" top="0.31458333333333299" bottom="0.156944444444444" header="0.39305555555555599" footer="0.27500000000000002"/>
  <pageSetup paperSize="9" scale="14" orientation="landscape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9"/>
  <sheetViews>
    <sheetView zoomScale="85" zoomScaleNormal="85" workbookViewId="0">
      <selection activeCell="G14" sqref="G14"/>
    </sheetView>
  </sheetViews>
  <sheetFormatPr defaultColWidth="9" defaultRowHeight="27.9" customHeight="1" x14ac:dyDescent="0.25"/>
  <cols>
    <col min="1" max="1" width="7.1640625" customWidth="1"/>
    <col min="2" max="2" width="13.4140625" customWidth="1"/>
    <col min="3" max="3" width="68.83203125" style="12" customWidth="1"/>
    <col min="4" max="4" width="9" style="13"/>
  </cols>
  <sheetData>
    <row r="1" spans="1:4" ht="36" customHeight="1" x14ac:dyDescent="0.25">
      <c r="A1" s="56" t="s">
        <v>96</v>
      </c>
      <c r="B1" s="56"/>
      <c r="C1" s="56"/>
      <c r="D1" s="56"/>
    </row>
    <row r="2" spans="1:4" ht="23.15" customHeight="1" x14ac:dyDescent="0.25">
      <c r="A2" s="14" t="s">
        <v>0</v>
      </c>
      <c r="B2" s="14" t="s">
        <v>97</v>
      </c>
      <c r="C2" s="14" t="s">
        <v>98</v>
      </c>
      <c r="D2" s="14" t="s">
        <v>99</v>
      </c>
    </row>
    <row r="3" spans="1:4" ht="36" customHeight="1" x14ac:dyDescent="0.25">
      <c r="A3" s="14">
        <f t="shared" ref="A3:A13" si="0">ROW()-2</f>
        <v>1</v>
      </c>
      <c r="B3" s="15" t="s">
        <v>100</v>
      </c>
      <c r="C3" s="14" t="s">
        <v>101</v>
      </c>
      <c r="D3" s="14">
        <v>0</v>
      </c>
    </row>
    <row r="4" spans="1:4" ht="31" customHeight="1" x14ac:dyDescent="0.25">
      <c r="A4" s="14">
        <f t="shared" si="0"/>
        <v>2</v>
      </c>
      <c r="B4" s="15" t="s">
        <v>25</v>
      </c>
      <c r="C4" s="14" t="s">
        <v>102</v>
      </c>
      <c r="D4" s="14">
        <v>0</v>
      </c>
    </row>
    <row r="5" spans="1:4" ht="29" customHeight="1" x14ac:dyDescent="0.25">
      <c r="A5" s="14">
        <f t="shared" si="0"/>
        <v>3</v>
      </c>
      <c r="B5" s="15" t="s">
        <v>27</v>
      </c>
      <c r="C5" s="14" t="s">
        <v>103</v>
      </c>
      <c r="D5" s="14">
        <v>0</v>
      </c>
    </row>
    <row r="6" spans="1:4" ht="27.9" customHeight="1" x14ac:dyDescent="0.25">
      <c r="A6" s="14">
        <f t="shared" si="0"/>
        <v>4</v>
      </c>
      <c r="B6" s="15" t="s">
        <v>29</v>
      </c>
      <c r="C6" s="14" t="s">
        <v>104</v>
      </c>
      <c r="D6" s="14">
        <v>2.5</v>
      </c>
    </row>
    <row r="7" spans="1:4" ht="26" customHeight="1" x14ac:dyDescent="0.25">
      <c r="A7" s="14">
        <f t="shared" si="0"/>
        <v>5</v>
      </c>
      <c r="B7" s="16" t="s">
        <v>31</v>
      </c>
      <c r="C7" s="14" t="s">
        <v>105</v>
      </c>
      <c r="D7" s="14">
        <v>0</v>
      </c>
    </row>
    <row r="8" spans="1:4" ht="26" customHeight="1" x14ac:dyDescent="0.25">
      <c r="A8" s="14">
        <f t="shared" si="0"/>
        <v>6</v>
      </c>
      <c r="B8" s="16" t="s">
        <v>33</v>
      </c>
      <c r="C8" s="14" t="s">
        <v>106</v>
      </c>
      <c r="D8" s="14">
        <v>6</v>
      </c>
    </row>
    <row r="9" spans="1:4" ht="27.9" customHeight="1" x14ac:dyDescent="0.25">
      <c r="A9" s="14">
        <f t="shared" si="0"/>
        <v>7</v>
      </c>
      <c r="B9" s="16" t="s">
        <v>35</v>
      </c>
      <c r="C9" s="14" t="s">
        <v>107</v>
      </c>
      <c r="D9" s="14">
        <v>16</v>
      </c>
    </row>
    <row r="10" spans="1:4" ht="27.9" customHeight="1" x14ac:dyDescent="0.25">
      <c r="A10" s="14">
        <f t="shared" si="0"/>
        <v>8</v>
      </c>
      <c r="B10" s="17" t="s">
        <v>37</v>
      </c>
      <c r="C10" s="14" t="s">
        <v>108</v>
      </c>
      <c r="D10" s="14">
        <v>5.5</v>
      </c>
    </row>
    <row r="11" spans="1:4" ht="27.9" customHeight="1" x14ac:dyDescent="0.25">
      <c r="A11" s="14">
        <f t="shared" si="0"/>
        <v>9</v>
      </c>
      <c r="B11" s="16" t="s">
        <v>39</v>
      </c>
      <c r="C11" s="14" t="s">
        <v>109</v>
      </c>
      <c r="D11" s="14">
        <v>0</v>
      </c>
    </row>
    <row r="12" spans="1:4" ht="27.9" customHeight="1" x14ac:dyDescent="0.25">
      <c r="A12" s="14">
        <f t="shared" si="0"/>
        <v>10</v>
      </c>
      <c r="B12" s="15" t="s">
        <v>41</v>
      </c>
      <c r="C12" s="14" t="s">
        <v>106</v>
      </c>
      <c r="D12" s="14">
        <v>1</v>
      </c>
    </row>
    <row r="13" spans="1:4" ht="33" customHeight="1" x14ac:dyDescent="0.25">
      <c r="A13" s="14">
        <f t="shared" si="0"/>
        <v>11</v>
      </c>
      <c r="B13" s="15" t="s">
        <v>43</v>
      </c>
      <c r="C13" s="14" t="s">
        <v>110</v>
      </c>
      <c r="D13" s="14">
        <v>18.5</v>
      </c>
    </row>
    <row r="14" spans="1:4" ht="55" customHeight="1" x14ac:dyDescent="0.25">
      <c r="A14" s="14">
        <f t="shared" ref="A14:A19" si="1">ROW()-2</f>
        <v>12</v>
      </c>
      <c r="B14" s="15" t="s">
        <v>45</v>
      </c>
      <c r="C14" s="14" t="s">
        <v>111</v>
      </c>
      <c r="D14" s="14">
        <v>21.5</v>
      </c>
    </row>
    <row r="15" spans="1:4" ht="33" customHeight="1" x14ac:dyDescent="0.25">
      <c r="A15" s="14">
        <f t="shared" si="1"/>
        <v>13</v>
      </c>
      <c r="B15" s="16" t="s">
        <v>46</v>
      </c>
      <c r="C15" s="14" t="s">
        <v>112</v>
      </c>
      <c r="D15" s="14">
        <v>29</v>
      </c>
    </row>
    <row r="16" spans="1:4" ht="27.9" customHeight="1" x14ac:dyDescent="0.25">
      <c r="A16" s="14">
        <f t="shared" si="1"/>
        <v>14</v>
      </c>
      <c r="B16" s="16" t="s">
        <v>48</v>
      </c>
      <c r="C16" s="14" t="s">
        <v>113</v>
      </c>
      <c r="D16" s="14">
        <v>8</v>
      </c>
    </row>
    <row r="17" spans="1:4" ht="27.9" customHeight="1" x14ac:dyDescent="0.25">
      <c r="A17" s="14">
        <f t="shared" si="1"/>
        <v>15</v>
      </c>
      <c r="B17" s="16" t="s">
        <v>50</v>
      </c>
      <c r="C17" s="14" t="s">
        <v>114</v>
      </c>
      <c r="D17" s="14">
        <v>9</v>
      </c>
    </row>
    <row r="18" spans="1:4" ht="27.9" customHeight="1" x14ac:dyDescent="0.25">
      <c r="A18" s="14">
        <f t="shared" si="1"/>
        <v>16</v>
      </c>
      <c r="B18" s="16" t="s">
        <v>51</v>
      </c>
      <c r="C18" s="14" t="s">
        <v>115</v>
      </c>
      <c r="D18" s="14">
        <v>2</v>
      </c>
    </row>
    <row r="19" spans="1:4" ht="27.9" customHeight="1" x14ac:dyDescent="0.25">
      <c r="A19" s="14">
        <f t="shared" si="1"/>
        <v>17</v>
      </c>
      <c r="B19" s="16" t="s">
        <v>53</v>
      </c>
      <c r="C19" s="14" t="s">
        <v>116</v>
      </c>
      <c r="D19" s="14">
        <v>7</v>
      </c>
    </row>
    <row r="20" spans="1:4" ht="27.9" customHeight="1" x14ac:dyDescent="0.25">
      <c r="A20" s="14">
        <f>ROW()-2</f>
        <v>18</v>
      </c>
      <c r="B20" s="16" t="s">
        <v>55</v>
      </c>
      <c r="C20" s="14" t="s">
        <v>117</v>
      </c>
      <c r="D20" s="14">
        <v>1</v>
      </c>
    </row>
    <row r="21" spans="1:4" ht="27.9" customHeight="1" x14ac:dyDescent="0.25">
      <c r="A21" s="14">
        <f>ROW()-2</f>
        <v>19</v>
      </c>
      <c r="B21" s="16" t="s">
        <v>57</v>
      </c>
      <c r="C21" s="48" t="s">
        <v>145</v>
      </c>
      <c r="D21" s="14">
        <v>5.5</v>
      </c>
    </row>
    <row r="22" spans="1:4" ht="27.9" customHeight="1" x14ac:dyDescent="0.25">
      <c r="A22" s="14">
        <f>ROW()-2</f>
        <v>20</v>
      </c>
      <c r="B22" s="16" t="s">
        <v>59</v>
      </c>
      <c r="C22" s="14" t="s">
        <v>118</v>
      </c>
      <c r="D22" s="14">
        <v>0</v>
      </c>
    </row>
    <row r="23" spans="1:4" ht="27.9" customHeight="1" x14ac:dyDescent="0.25">
      <c r="A23" s="14">
        <f t="shared" ref="A23:A32" si="2">ROW()-2</f>
        <v>21</v>
      </c>
      <c r="B23" s="16" t="s">
        <v>61</v>
      </c>
      <c r="C23" s="48" t="s">
        <v>144</v>
      </c>
      <c r="D23" s="14">
        <v>20</v>
      </c>
    </row>
    <row r="24" spans="1:4" ht="27.9" customHeight="1" x14ac:dyDescent="0.25">
      <c r="A24" s="14">
        <f t="shared" si="2"/>
        <v>22</v>
      </c>
      <c r="B24" s="16" t="s">
        <v>63</v>
      </c>
      <c r="C24" s="18" t="s">
        <v>119</v>
      </c>
      <c r="D24" s="14">
        <v>21</v>
      </c>
    </row>
    <row r="25" spans="1:4" ht="38" customHeight="1" x14ac:dyDescent="0.25">
      <c r="A25" s="14">
        <f t="shared" si="2"/>
        <v>23</v>
      </c>
      <c r="B25" s="19" t="s">
        <v>65</v>
      </c>
      <c r="C25" s="18" t="s">
        <v>120</v>
      </c>
      <c r="D25" s="14">
        <v>20</v>
      </c>
    </row>
    <row r="26" spans="1:4" ht="27.9" customHeight="1" x14ac:dyDescent="0.25">
      <c r="A26" s="14">
        <f t="shared" si="2"/>
        <v>24</v>
      </c>
      <c r="B26" s="16" t="s">
        <v>67</v>
      </c>
      <c r="C26" s="14" t="s">
        <v>121</v>
      </c>
      <c r="D26" s="14">
        <v>22</v>
      </c>
    </row>
    <row r="27" spans="1:4" ht="27.9" customHeight="1" x14ac:dyDescent="0.25">
      <c r="A27" s="14">
        <f t="shared" si="2"/>
        <v>25</v>
      </c>
      <c r="B27" s="20" t="s">
        <v>69</v>
      </c>
      <c r="C27" s="18" t="s">
        <v>122</v>
      </c>
      <c r="D27" s="14">
        <v>17</v>
      </c>
    </row>
    <row r="28" spans="1:4" ht="27.9" customHeight="1" x14ac:dyDescent="0.25">
      <c r="A28" s="14">
        <f t="shared" si="2"/>
        <v>26</v>
      </c>
      <c r="B28" s="16" t="s">
        <v>71</v>
      </c>
      <c r="C28" s="14" t="s">
        <v>123</v>
      </c>
      <c r="D28" s="14">
        <v>9</v>
      </c>
    </row>
    <row r="29" spans="1:4" ht="27.9" customHeight="1" x14ac:dyDescent="0.25">
      <c r="A29" s="14">
        <f t="shared" si="2"/>
        <v>27</v>
      </c>
      <c r="B29" s="20" t="s">
        <v>73</v>
      </c>
      <c r="C29" s="14" t="s">
        <v>124</v>
      </c>
      <c r="D29" s="14">
        <v>26</v>
      </c>
    </row>
    <row r="30" spans="1:4" ht="27.9" customHeight="1" x14ac:dyDescent="0.25">
      <c r="A30" s="14">
        <f t="shared" si="2"/>
        <v>28</v>
      </c>
      <c r="B30" s="16" t="s">
        <v>75</v>
      </c>
      <c r="C30" s="14" t="s">
        <v>125</v>
      </c>
      <c r="D30" s="14">
        <v>8.5</v>
      </c>
    </row>
    <row r="31" spans="1:4" ht="27.9" customHeight="1" x14ac:dyDescent="0.25">
      <c r="A31" s="14">
        <f t="shared" si="2"/>
        <v>29</v>
      </c>
      <c r="B31" s="15" t="s">
        <v>77</v>
      </c>
      <c r="C31" s="14" t="s">
        <v>126</v>
      </c>
      <c r="D31" s="14">
        <v>18</v>
      </c>
    </row>
    <row r="32" spans="1:4" ht="27.9" customHeight="1" x14ac:dyDescent="0.25">
      <c r="A32" s="14">
        <f t="shared" si="2"/>
        <v>30</v>
      </c>
      <c r="B32" s="20" t="s">
        <v>79</v>
      </c>
      <c r="C32" s="14" t="s">
        <v>127</v>
      </c>
      <c r="D32" s="14">
        <v>16.5</v>
      </c>
    </row>
    <row r="33" spans="1:4" ht="27.9" customHeight="1" x14ac:dyDescent="0.25">
      <c r="A33" s="14">
        <f t="shared" ref="A33:A39" si="3">ROW()-2</f>
        <v>31</v>
      </c>
      <c r="B33" s="21" t="s">
        <v>80</v>
      </c>
      <c r="C33" s="14" t="s">
        <v>128</v>
      </c>
      <c r="D33" s="14">
        <v>13</v>
      </c>
    </row>
    <row r="34" spans="1:4" ht="27.9" customHeight="1" x14ac:dyDescent="0.25">
      <c r="A34" s="14">
        <f t="shared" si="3"/>
        <v>32</v>
      </c>
      <c r="B34" s="16" t="s">
        <v>82</v>
      </c>
      <c r="C34" s="14" t="s">
        <v>129</v>
      </c>
      <c r="D34" s="14">
        <v>0.5</v>
      </c>
    </row>
    <row r="35" spans="1:4" ht="32" customHeight="1" x14ac:dyDescent="0.25">
      <c r="A35" s="14">
        <f t="shared" si="3"/>
        <v>33</v>
      </c>
      <c r="B35" s="20" t="s">
        <v>84</v>
      </c>
      <c r="C35" s="18" t="s">
        <v>130</v>
      </c>
      <c r="D35" s="14">
        <v>15</v>
      </c>
    </row>
    <row r="36" spans="1:4" ht="27.9" customHeight="1" x14ac:dyDescent="0.25">
      <c r="A36" s="14">
        <f t="shared" si="3"/>
        <v>34</v>
      </c>
      <c r="B36" s="16" t="s">
        <v>86</v>
      </c>
      <c r="C36" s="14" t="s">
        <v>131</v>
      </c>
      <c r="D36" s="14">
        <v>12</v>
      </c>
    </row>
    <row r="37" spans="1:4" ht="26" customHeight="1" x14ac:dyDescent="0.25">
      <c r="A37" s="14">
        <f t="shared" si="3"/>
        <v>35</v>
      </c>
      <c r="B37" s="20" t="s">
        <v>88</v>
      </c>
      <c r="C37" s="14" t="s">
        <v>132</v>
      </c>
      <c r="D37" s="14">
        <v>0</v>
      </c>
    </row>
    <row r="38" spans="1:4" ht="30" customHeight="1" x14ac:dyDescent="0.25">
      <c r="A38" s="14">
        <f t="shared" si="3"/>
        <v>36</v>
      </c>
      <c r="B38" s="19" t="s">
        <v>90</v>
      </c>
      <c r="C38" s="18" t="s">
        <v>133</v>
      </c>
      <c r="D38" s="14">
        <v>5</v>
      </c>
    </row>
    <row r="39" spans="1:4" ht="27.9" customHeight="1" x14ac:dyDescent="0.25">
      <c r="A39" s="14">
        <f t="shared" si="3"/>
        <v>37</v>
      </c>
      <c r="B39" s="20" t="s">
        <v>92</v>
      </c>
      <c r="C39" s="47" t="s">
        <v>143</v>
      </c>
      <c r="D39" s="20">
        <v>4</v>
      </c>
    </row>
  </sheetData>
  <mergeCells count="1">
    <mergeCell ref="A1:D1"/>
  </mergeCells>
  <phoneticPr fontId="18" type="noConversion"/>
  <pageMargins left="1.0625" right="0.27500000000000002" top="0.47222222222222199" bottom="0.31458333333333299" header="0.23611111111111099" footer="0.156944444444444"/>
  <pageSetup paperSize="9" scale="72" orientation="portrait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0"/>
  <sheetViews>
    <sheetView zoomScale="55" zoomScaleNormal="55" workbookViewId="0">
      <selection activeCell="J15" sqref="J15"/>
    </sheetView>
  </sheetViews>
  <sheetFormatPr defaultColWidth="10" defaultRowHeight="39" customHeight="1" x14ac:dyDescent="0.25"/>
  <cols>
    <col min="1" max="1" width="8.5" customWidth="1"/>
    <col min="2" max="2" width="15.4140625" customWidth="1"/>
    <col min="3" max="30" width="10" customWidth="1"/>
    <col min="31" max="31" width="14.4140625" customWidth="1"/>
    <col min="32" max="44" width="10" customWidth="1"/>
    <col min="45" max="45" width="21.9140625" customWidth="1"/>
    <col min="46" max="46" width="10" customWidth="1"/>
  </cols>
  <sheetData>
    <row r="1" spans="1:46" ht="39" customHeight="1" x14ac:dyDescent="0.25">
      <c r="A1" s="51" t="s">
        <v>134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</row>
    <row r="2" spans="1:46" ht="39" customHeight="1" x14ac:dyDescent="0.25">
      <c r="A2" s="57" t="s">
        <v>0</v>
      </c>
      <c r="B2" s="57" t="s">
        <v>1</v>
      </c>
      <c r="C2" s="57" t="s">
        <v>2</v>
      </c>
      <c r="D2" s="57" t="s">
        <v>3</v>
      </c>
      <c r="E2" s="57" t="s">
        <v>4</v>
      </c>
      <c r="F2" s="57" t="s">
        <v>5</v>
      </c>
      <c r="G2" s="57" t="s">
        <v>6</v>
      </c>
      <c r="H2" s="57" t="s">
        <v>7</v>
      </c>
      <c r="I2" s="57" t="s">
        <v>8</v>
      </c>
      <c r="J2" s="57" t="s">
        <v>11</v>
      </c>
      <c r="K2" s="57" t="s">
        <v>10</v>
      </c>
      <c r="L2" s="57" t="s">
        <v>12</v>
      </c>
      <c r="M2" s="57" t="s">
        <v>13</v>
      </c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 t="s">
        <v>14</v>
      </c>
    </row>
    <row r="3" spans="1:46" ht="39" customHeight="1" x14ac:dyDescent="0.2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7">
        <v>26</v>
      </c>
      <c r="O3" s="7">
        <v>27</v>
      </c>
      <c r="P3" s="7">
        <v>28</v>
      </c>
      <c r="Q3" s="7">
        <v>29</v>
      </c>
      <c r="R3" s="7">
        <v>30</v>
      </c>
      <c r="S3" s="7">
        <v>31</v>
      </c>
      <c r="T3" s="7">
        <v>1</v>
      </c>
      <c r="U3" s="7">
        <v>2</v>
      </c>
      <c r="V3" s="7">
        <v>3</v>
      </c>
      <c r="W3" s="7">
        <v>4</v>
      </c>
      <c r="X3" s="7">
        <v>5</v>
      </c>
      <c r="Y3" s="7">
        <v>6</v>
      </c>
      <c r="Z3" s="7">
        <v>7</v>
      </c>
      <c r="AA3" s="7">
        <v>8</v>
      </c>
      <c r="AB3" s="7">
        <v>9</v>
      </c>
      <c r="AC3" s="7">
        <v>10</v>
      </c>
      <c r="AD3" s="7">
        <v>11</v>
      </c>
      <c r="AE3" s="7">
        <v>12</v>
      </c>
      <c r="AF3" s="7">
        <v>13</v>
      </c>
      <c r="AG3" s="7">
        <v>14</v>
      </c>
      <c r="AH3" s="7">
        <v>15</v>
      </c>
      <c r="AI3" s="7">
        <v>16</v>
      </c>
      <c r="AJ3" s="7">
        <v>17</v>
      </c>
      <c r="AK3" s="7">
        <v>18</v>
      </c>
      <c r="AL3" s="7">
        <v>19</v>
      </c>
      <c r="AM3" s="7">
        <v>20</v>
      </c>
      <c r="AN3" s="7">
        <v>21</v>
      </c>
      <c r="AO3" s="7">
        <v>22</v>
      </c>
      <c r="AP3" s="7">
        <v>23</v>
      </c>
      <c r="AQ3" s="7">
        <v>24</v>
      </c>
      <c r="AR3" s="7">
        <v>25</v>
      </c>
      <c r="AS3" s="57"/>
    </row>
    <row r="4" spans="1:46" ht="39" customHeight="1" x14ac:dyDescent="0.25">
      <c r="A4" s="57"/>
      <c r="B4" s="6" t="s">
        <v>15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7" t="s">
        <v>16</v>
      </c>
      <c r="O4" s="7" t="s">
        <v>17</v>
      </c>
      <c r="P4" s="7" t="s">
        <v>18</v>
      </c>
      <c r="Q4" s="7" t="s">
        <v>19</v>
      </c>
      <c r="R4" s="7" t="s">
        <v>20</v>
      </c>
      <c r="S4" s="7" t="s">
        <v>21</v>
      </c>
      <c r="T4" s="7" t="s">
        <v>22</v>
      </c>
      <c r="U4" s="7" t="s">
        <v>16</v>
      </c>
      <c r="V4" s="7" t="s">
        <v>17</v>
      </c>
      <c r="W4" s="7" t="s">
        <v>18</v>
      </c>
      <c r="X4" s="7" t="s">
        <v>19</v>
      </c>
      <c r="Y4" s="7" t="s">
        <v>20</v>
      </c>
      <c r="Z4" s="7" t="s">
        <v>21</v>
      </c>
      <c r="AA4" s="7" t="s">
        <v>22</v>
      </c>
      <c r="AB4" s="7" t="s">
        <v>16</v>
      </c>
      <c r="AC4" s="7" t="s">
        <v>17</v>
      </c>
      <c r="AD4" s="7" t="s">
        <v>18</v>
      </c>
      <c r="AE4" s="7" t="s">
        <v>19</v>
      </c>
      <c r="AF4" s="7" t="s">
        <v>20</v>
      </c>
      <c r="AG4" s="7" t="s">
        <v>21</v>
      </c>
      <c r="AH4" s="7" t="s">
        <v>22</v>
      </c>
      <c r="AI4" s="7" t="s">
        <v>16</v>
      </c>
      <c r="AJ4" s="7" t="s">
        <v>17</v>
      </c>
      <c r="AK4" s="7" t="s">
        <v>18</v>
      </c>
      <c r="AL4" s="7" t="s">
        <v>19</v>
      </c>
      <c r="AM4" s="7" t="s">
        <v>20</v>
      </c>
      <c r="AN4" s="7" t="s">
        <v>21</v>
      </c>
      <c r="AO4" s="7" t="s">
        <v>22</v>
      </c>
      <c r="AP4" s="7" t="s">
        <v>16</v>
      </c>
      <c r="AQ4" s="7" t="s">
        <v>17</v>
      </c>
      <c r="AR4" s="7" t="s">
        <v>18</v>
      </c>
      <c r="AS4" s="57"/>
    </row>
    <row r="5" spans="1:46" ht="54" customHeight="1" x14ac:dyDescent="0.25">
      <c r="A5" s="8">
        <v>1</v>
      </c>
      <c r="B5" s="8" t="s">
        <v>135</v>
      </c>
      <c r="C5" s="8">
        <v>31</v>
      </c>
      <c r="D5" s="8">
        <v>0</v>
      </c>
      <c r="E5" s="8">
        <v>31</v>
      </c>
      <c r="F5" s="8">
        <v>4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31</v>
      </c>
      <c r="M5" s="8">
        <v>13</v>
      </c>
      <c r="N5" s="9" t="s">
        <v>136</v>
      </c>
      <c r="O5" s="9" t="s">
        <v>136</v>
      </c>
      <c r="P5" s="9" t="s">
        <v>136</v>
      </c>
      <c r="Q5" s="9" t="s">
        <v>136</v>
      </c>
      <c r="R5" s="9" t="s">
        <v>136</v>
      </c>
      <c r="S5" s="9" t="s">
        <v>136</v>
      </c>
      <c r="T5" s="9" t="s">
        <v>136</v>
      </c>
      <c r="U5" s="9" t="s">
        <v>136</v>
      </c>
      <c r="V5" s="9" t="s">
        <v>136</v>
      </c>
      <c r="W5" s="9" t="s">
        <v>136</v>
      </c>
      <c r="X5" s="9" t="s">
        <v>136</v>
      </c>
      <c r="Y5" s="9" t="s">
        <v>136</v>
      </c>
      <c r="Z5" s="9" t="s">
        <v>136</v>
      </c>
      <c r="AA5" s="9" t="s">
        <v>136</v>
      </c>
      <c r="AB5" s="9" t="s">
        <v>136</v>
      </c>
      <c r="AC5" s="9" t="s">
        <v>136</v>
      </c>
      <c r="AD5" s="9" t="s">
        <v>136</v>
      </c>
      <c r="AE5" s="9" t="s">
        <v>136</v>
      </c>
      <c r="AF5" s="9" t="s">
        <v>136</v>
      </c>
      <c r="AG5" s="9" t="s">
        <v>136</v>
      </c>
      <c r="AH5" s="9" t="s">
        <v>136</v>
      </c>
      <c r="AI5" s="9" t="s">
        <v>136</v>
      </c>
      <c r="AJ5" s="9" t="s">
        <v>136</v>
      </c>
      <c r="AK5" s="9" t="s">
        <v>136</v>
      </c>
      <c r="AL5" s="9" t="s">
        <v>136</v>
      </c>
      <c r="AM5" s="9" t="s">
        <v>136</v>
      </c>
      <c r="AN5" s="9" t="s">
        <v>136</v>
      </c>
      <c r="AO5" s="9" t="s">
        <v>136</v>
      </c>
      <c r="AP5" s="9" t="s">
        <v>136</v>
      </c>
      <c r="AQ5" s="9" t="s">
        <v>136</v>
      </c>
      <c r="AR5" s="9" t="s">
        <v>136</v>
      </c>
      <c r="AS5" s="8" t="s">
        <v>137</v>
      </c>
    </row>
    <row r="6" spans="1:46" ht="39" customHeight="1" x14ac:dyDescent="0.25">
      <c r="A6" s="8">
        <v>2</v>
      </c>
      <c r="B6" s="8" t="s">
        <v>138</v>
      </c>
      <c r="C6" s="8">
        <v>31</v>
      </c>
      <c r="D6" s="8">
        <v>0</v>
      </c>
      <c r="E6" s="8">
        <v>31</v>
      </c>
      <c r="F6" s="8">
        <v>4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31</v>
      </c>
      <c r="M6" s="8">
        <v>12</v>
      </c>
      <c r="N6" s="9" t="s">
        <v>136</v>
      </c>
      <c r="O6" s="9" t="s">
        <v>136</v>
      </c>
      <c r="P6" s="9" t="s">
        <v>136</v>
      </c>
      <c r="Q6" s="9" t="s">
        <v>136</v>
      </c>
      <c r="R6" s="9" t="s">
        <v>136</v>
      </c>
      <c r="S6" s="9" t="s">
        <v>136</v>
      </c>
      <c r="T6" s="9" t="s">
        <v>136</v>
      </c>
      <c r="U6" s="9" t="s">
        <v>136</v>
      </c>
      <c r="V6" s="9" t="s">
        <v>136</v>
      </c>
      <c r="W6" s="9" t="s">
        <v>136</v>
      </c>
      <c r="X6" s="9" t="s">
        <v>136</v>
      </c>
      <c r="Y6" s="9" t="s">
        <v>136</v>
      </c>
      <c r="Z6" s="9" t="s">
        <v>136</v>
      </c>
      <c r="AA6" s="9" t="s">
        <v>136</v>
      </c>
      <c r="AB6" s="9" t="s">
        <v>136</v>
      </c>
      <c r="AC6" s="9" t="s">
        <v>136</v>
      </c>
      <c r="AD6" s="9" t="s">
        <v>136</v>
      </c>
      <c r="AE6" s="9" t="s">
        <v>136</v>
      </c>
      <c r="AF6" s="9" t="s">
        <v>136</v>
      </c>
      <c r="AG6" s="9" t="s">
        <v>136</v>
      </c>
      <c r="AH6" s="9" t="s">
        <v>136</v>
      </c>
      <c r="AI6" s="9" t="s">
        <v>136</v>
      </c>
      <c r="AJ6" s="9" t="s">
        <v>136</v>
      </c>
      <c r="AK6" s="9" t="s">
        <v>136</v>
      </c>
      <c r="AL6" s="9" t="s">
        <v>136</v>
      </c>
      <c r="AM6" s="9" t="s">
        <v>136</v>
      </c>
      <c r="AN6" s="9" t="s">
        <v>136</v>
      </c>
      <c r="AO6" s="9" t="s">
        <v>136</v>
      </c>
      <c r="AP6" s="9" t="s">
        <v>136</v>
      </c>
      <c r="AQ6" s="9" t="s">
        <v>136</v>
      </c>
      <c r="AR6" s="9" t="s">
        <v>136</v>
      </c>
      <c r="AS6" s="10" t="s">
        <v>139</v>
      </c>
    </row>
    <row r="7" spans="1:46" ht="39" customHeight="1" x14ac:dyDescent="0.25">
      <c r="A7" s="8">
        <v>3</v>
      </c>
      <c r="B7" s="8" t="s">
        <v>140</v>
      </c>
      <c r="C7" s="8">
        <v>31</v>
      </c>
      <c r="D7" s="8">
        <v>0</v>
      </c>
      <c r="E7" s="8">
        <v>31</v>
      </c>
      <c r="F7" s="8">
        <v>4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31</v>
      </c>
      <c r="M7" s="8">
        <v>24</v>
      </c>
      <c r="N7" s="9" t="s">
        <v>136</v>
      </c>
      <c r="O7" s="9" t="s">
        <v>136</v>
      </c>
      <c r="P7" s="9" t="s">
        <v>136</v>
      </c>
      <c r="Q7" s="9" t="s">
        <v>136</v>
      </c>
      <c r="R7" s="9" t="s">
        <v>136</v>
      </c>
      <c r="S7" s="9" t="s">
        <v>136</v>
      </c>
      <c r="T7" s="9" t="s">
        <v>136</v>
      </c>
      <c r="U7" s="9" t="s">
        <v>136</v>
      </c>
      <c r="V7" s="9" t="s">
        <v>136</v>
      </c>
      <c r="W7" s="9" t="s">
        <v>136</v>
      </c>
      <c r="X7" s="9" t="s">
        <v>136</v>
      </c>
      <c r="Y7" s="9" t="s">
        <v>136</v>
      </c>
      <c r="Z7" s="9" t="s">
        <v>136</v>
      </c>
      <c r="AA7" s="9" t="s">
        <v>136</v>
      </c>
      <c r="AB7" s="9" t="s">
        <v>136</v>
      </c>
      <c r="AC7" s="9" t="s">
        <v>136</v>
      </c>
      <c r="AD7" s="9" t="s">
        <v>136</v>
      </c>
      <c r="AE7" s="9" t="s">
        <v>136</v>
      </c>
      <c r="AF7" s="9" t="s">
        <v>136</v>
      </c>
      <c r="AG7" s="9" t="s">
        <v>136</v>
      </c>
      <c r="AH7" s="9" t="s">
        <v>136</v>
      </c>
      <c r="AI7" s="9" t="s">
        <v>136</v>
      </c>
      <c r="AJ7" s="9" t="s">
        <v>136</v>
      </c>
      <c r="AK7" s="9" t="s">
        <v>136</v>
      </c>
      <c r="AL7" s="9" t="s">
        <v>136</v>
      </c>
      <c r="AM7" s="9" t="s">
        <v>136</v>
      </c>
      <c r="AN7" s="9" t="s">
        <v>136</v>
      </c>
      <c r="AO7" s="9" t="s">
        <v>136</v>
      </c>
      <c r="AP7" s="9" t="s">
        <v>136</v>
      </c>
      <c r="AQ7" s="9" t="s">
        <v>136</v>
      </c>
      <c r="AR7" s="9" t="s">
        <v>136</v>
      </c>
      <c r="AS7" s="10" t="s">
        <v>141</v>
      </c>
      <c r="AT7" s="11"/>
    </row>
    <row r="8" spans="1:46" ht="39" customHeight="1" x14ac:dyDescent="0.25">
      <c r="A8" s="54" t="s">
        <v>94</v>
      </c>
      <c r="B8" s="54"/>
      <c r="C8" s="8">
        <f>SUM(C5:C7)</f>
        <v>93</v>
      </c>
      <c r="D8" s="8">
        <f>SUM(D5:D7)</f>
        <v>0</v>
      </c>
      <c r="E8" s="8">
        <f>SUM(E5:E7)</f>
        <v>93</v>
      </c>
      <c r="F8" s="8">
        <f>SUM(F5:F7)</f>
        <v>12</v>
      </c>
      <c r="G8" s="8">
        <f t="shared" ref="G8:K8" si="0">SUM(G5:G7)</f>
        <v>0</v>
      </c>
      <c r="H8" s="8">
        <f t="shared" si="0"/>
        <v>0</v>
      </c>
      <c r="I8" s="8">
        <f t="shared" si="0"/>
        <v>0</v>
      </c>
      <c r="J8" s="8">
        <f t="shared" si="0"/>
        <v>0</v>
      </c>
      <c r="K8" s="8">
        <f t="shared" si="0"/>
        <v>0</v>
      </c>
      <c r="L8" s="8">
        <f>SUM(L5:L7)</f>
        <v>93</v>
      </c>
      <c r="M8" s="8">
        <f>SUM(M5:M7)</f>
        <v>49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</row>
    <row r="9" spans="1:46" ht="39" customHeight="1" x14ac:dyDescent="0.25">
      <c r="A9" s="58" t="s">
        <v>95</v>
      </c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60"/>
    </row>
    <row r="10" spans="1:46" ht="39" customHeight="1" x14ac:dyDescent="0.25">
      <c r="A10" s="61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3"/>
    </row>
  </sheetData>
  <mergeCells count="18">
    <mergeCell ref="K2:K4"/>
    <mergeCell ref="L2:L4"/>
    <mergeCell ref="M2:M4"/>
    <mergeCell ref="AS2:AS4"/>
    <mergeCell ref="A9:AS10"/>
    <mergeCell ref="A1:AS1"/>
    <mergeCell ref="N2:AR2"/>
    <mergeCell ref="A8:B8"/>
    <mergeCell ref="A2:A4"/>
    <mergeCell ref="B2:B3"/>
    <mergeCell ref="C2:C4"/>
    <mergeCell ref="D2:D4"/>
    <mergeCell ref="E2:E4"/>
    <mergeCell ref="F2:F4"/>
    <mergeCell ref="G2:G4"/>
    <mergeCell ref="H2:H4"/>
    <mergeCell ref="I2:I4"/>
    <mergeCell ref="J2:J4"/>
  </mergeCells>
  <phoneticPr fontId="18" type="noConversion"/>
  <pageMargins left="0.156944444444444" right="0.75" top="1" bottom="1" header="0.51180555555555596" footer="0.51180555555555596"/>
  <pageSetup paperSize="9" scale="46" orientation="landscape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5"/>
  <sheetViews>
    <sheetView workbookViewId="0">
      <selection activeCell="C14" sqref="C14"/>
    </sheetView>
  </sheetViews>
  <sheetFormatPr defaultColWidth="51.58203125" defaultRowHeight="29.15" customHeight="1" x14ac:dyDescent="0.25"/>
  <cols>
    <col min="1" max="1" width="9.08203125" style="1" customWidth="1"/>
    <col min="2" max="2" width="14.5" style="1" customWidth="1"/>
    <col min="3" max="3" width="57.4140625" style="2" customWidth="1"/>
    <col min="4" max="4" width="13.33203125" style="2" customWidth="1"/>
    <col min="5" max="16384" width="51.58203125" style="3"/>
  </cols>
  <sheetData>
    <row r="1" spans="1:4" ht="29.15" customHeight="1" x14ac:dyDescent="0.25">
      <c r="A1" s="64" t="s">
        <v>96</v>
      </c>
      <c r="B1" s="64"/>
      <c r="C1" s="65"/>
      <c r="D1" s="64"/>
    </row>
    <row r="2" spans="1:4" ht="29.15" customHeight="1" x14ac:dyDescent="0.25">
      <c r="A2" s="4" t="s">
        <v>0</v>
      </c>
      <c r="B2" s="4" t="s">
        <v>97</v>
      </c>
      <c r="C2" s="5" t="s">
        <v>98</v>
      </c>
      <c r="D2" s="4" t="s">
        <v>99</v>
      </c>
    </row>
    <row r="3" spans="1:4" ht="29.15" customHeight="1" x14ac:dyDescent="0.25">
      <c r="A3" s="4">
        <f>ROW()-2</f>
        <v>1</v>
      </c>
      <c r="B3" s="4" t="s">
        <v>135</v>
      </c>
      <c r="C3" s="5" t="s">
        <v>142</v>
      </c>
      <c r="D3" s="5">
        <v>13</v>
      </c>
    </row>
    <row r="4" spans="1:4" ht="39.9" customHeight="1" x14ac:dyDescent="0.25">
      <c r="A4" s="4">
        <f>ROW()-2</f>
        <v>2</v>
      </c>
      <c r="B4" s="4" t="s">
        <v>140</v>
      </c>
      <c r="C4" s="5" t="s">
        <v>142</v>
      </c>
      <c r="D4" s="5">
        <v>24</v>
      </c>
    </row>
    <row r="5" spans="1:4" ht="30" customHeight="1" x14ac:dyDescent="0.25">
      <c r="A5" s="4">
        <f>ROW()-2</f>
        <v>3</v>
      </c>
      <c r="B5" s="4" t="s">
        <v>138</v>
      </c>
      <c r="C5" s="5" t="s">
        <v>142</v>
      </c>
      <c r="D5" s="5">
        <v>12</v>
      </c>
    </row>
  </sheetData>
  <mergeCells count="1">
    <mergeCell ref="A1:D1"/>
  </mergeCells>
  <phoneticPr fontId="18" type="noConversion"/>
  <pageMargins left="0.75" right="0.75" top="1" bottom="1" header="0.5" footer="0.5"/>
  <pageSetup paperSize="9"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当月考勤</vt:lpstr>
      <vt:lpstr>考勤说明</vt:lpstr>
      <vt:lpstr>运维人员</vt:lpstr>
      <vt:lpstr>运维考勤说明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伟 刘</cp:lastModifiedBy>
  <dcterms:created xsi:type="dcterms:W3CDTF">2016-12-02T08:54:00Z</dcterms:created>
  <dcterms:modified xsi:type="dcterms:W3CDTF">2026-02-26T08:58:35Z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5394DA1D08F64FC899FF616F9DA1B355_13</vt:lpwstr>
  </property>
  <property fmtid="{D5CDD505-2E9C-101B-9397-08002B2CF9AE}" pid="4" name="KSOReadingLayout">
    <vt:bool>true</vt:bool>
  </property>
  <property fmtid="{D5CDD505-2E9C-101B-9397-08002B2CF9AE}" pid="5" name="EM_Doc_Temp_ID">
    <vt:lpwstr>C3ADF5A9-B480-4577-B34C-91B28786753F</vt:lpwstr>
  </property>
</Properties>
</file>